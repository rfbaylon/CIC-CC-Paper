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llys" sheetId="1" r:id="rId4"/>
    <sheet state="visible" name="Bridgewater" sheetId="2" r:id="rId5"/>
    <sheet state="visible" name="Fitchburg" sheetId="3" r:id="rId6"/>
    <sheet state="visible" name="Framingham" sheetId="4" r:id="rId7"/>
    <sheet state="visible" name="MCLA" sheetId="5" r:id="rId8"/>
    <sheet state="visible" name="Salem" sheetId="6" r:id="rId9"/>
    <sheet state="visible" name="UMass Amherst" sheetId="7" r:id="rId10"/>
    <sheet state="visible" name="UMass Boston" sheetId="8" r:id="rId11"/>
    <sheet state="visible" name="UMass Dartmouth" sheetId="9" r:id="rId12"/>
    <sheet state="visible" name="UMass Lowell" sheetId="10" r:id="rId13"/>
    <sheet state="visible" name="Westfield" sheetId="11" r:id="rId14"/>
    <sheet state="visible" name="Worcester" sheetId="12" r:id="rId15"/>
    <sheet state="visible" name="OG Work" sheetId="13"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MassTransfer
	-Baylon, Ryan Baylon</t>
      </text>
    </comment>
    <comment authorId="0" ref="A1">
      <text>
        <t xml:space="preserve">https://www.bridgew.edu/academics/majors-minors-undergraduate/computer-science
	-Baylon, Ryan Baylon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https://catalog.fitchburgstate.edu/preview_program.php?catoid=48&amp;poid=11791&amp;returnto=3385
	-Baylon, Ryan Baylon</t>
      </text>
    </comment>
    <comment authorId="0" ref="K12">
      <text>
        <t xml:space="preserve">no clue how this works
	-Baylon, Ryan Baylon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https://www.mcla.edu/Assets/MCLA-Files/Academics/Flow-sheet/CSCI-SOFTWARE-DEV-F16.pdf
	-Baylon, Ryan Baylon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W4">
      <text>
        <t xml:space="preserve">3 for 1
	-Baylon, Ryan Baylon</t>
      </text>
    </comment>
    <comment authorId="0" ref="A1">
      <text>
        <t xml:space="preserve">https://catalog.salemstate.edu/preview_program.php?catoid=59&amp;poid=7696&amp;returnto=15948
	-Baylon, Ryan Baylon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https://www.cics.umass.edu/academics/academic-policies/undergraduate-programs-policies/bs-computer-science-degree-requirem/bs-cs-degree-requirements-2023-revision
	-Baylon, Ryan Baylon</t>
      </text>
    </comment>
    <comment authorId="0" ref="L14">
      <text>
        <t xml:space="preserve">"Equivalent not offered at _"
	-Baylon, Ryan Baylon</t>
      </text>
    </comment>
    <comment authorId="0" ref="P13">
      <text>
        <t xml:space="preserve">"Equivalent not offered at _"
	-Baylon, Ryan Baylon</t>
      </text>
    </comment>
    <comment authorId="0" ref="L13">
      <text>
        <t xml:space="preserve">"Equivalent not offered at _"
	-Baylon, Ryan Baylon</t>
      </text>
    </comment>
    <comment authorId="0" ref="L12">
      <text>
        <t xml:space="preserve">"Equivalent not offered at _"
	-Baylon, Ryan Baylon</t>
      </text>
    </comment>
    <comment authorId="0" ref="L9">
      <text>
        <t xml:space="preserve">"Equivalent not offered at _"
	-Baylon, Ryan Baylon</t>
      </text>
    </comment>
    <comment authorId="0" ref="L6">
      <text>
        <t xml:space="preserve">"Equivalent not offered at _"
	-Baylon, Ryan Baylon</t>
      </text>
    </comment>
    <comment authorId="0" ref="L5">
      <text>
        <t xml:space="preserve">"Equivalent not offered at _"
	-Baylon, Ryan Baylon</t>
      </text>
    </comment>
    <comment authorId="0" ref="L3">
      <text>
        <t xml:space="preserve">"Equivalent not offered at ___"
	-Baylon, Ryan Baylon</t>
      </text>
    </comment>
    <comment authorId="0" ref="L2">
      <text>
        <t xml:space="preserve">"Equivalent not offered at ___"
	-Baylon, Ryan Baylon</t>
      </text>
    </comment>
    <comment authorId="0" ref="P3">
      <text>
        <t xml:space="preserve">"Equivalent not offered at ___"
	-Baylon, Ryan Baylon</t>
      </text>
    </comment>
    <comment authorId="0" ref="L10">
      <text>
        <t xml:space="preserve">"Equivalent not offered at ___"
	-Baylon, Ryan Baylon</t>
      </text>
    </comment>
    <comment authorId="0" ref="L1">
      <text>
        <t xml:space="preserve">everything on MassTransfer says "Equivalent not offered at ___" but is still equivalent??
	-Baylon, Ryan Baylon</t>
      </text>
    </comment>
    <comment authorId="0" ref="I1">
      <text>
        <t xml:space="preserve">Prerequisite to Computer System Principles, so its actually just a requirement. If System Principles transfers, I autocheck this box.
	-Baylon, Ryan Baylon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https://www.umb.edu/academics/program-finder/computer-science-bs/
	-Baylon, Ryan Baylon</t>
      </text>
    </comment>
    <comment authorId="0" ref="G3">
      <text>
        <t xml:space="preserve">again, not sure if this requires two courses or two possible courses
	-Baylon, Ryan Baylon</t>
      </text>
    </comment>
    <comment authorId="0" ref="I8">
      <text>
        <t xml:space="preserve">technically yes, but requires 3 courses. Not super confident Im reading this right, but it says "take CTIM151 , CTIM164 , CTIM341"
	-Baylon, Ryan Baylon
id be surprised if this were the case for an ethics course actually
	-Baylon, Ryan Baylon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https://webapps2.umassd.edu/transfers/welcome.php?es=00004226&amp;kw=cis&amp;umd=y&amp;btn=Search
	-Baylon, Ryan Baylon</t>
      </text>
    </comment>
    <comment authorId="0" ref="U14">
      <text>
        <t xml:space="preserve">3 for 1
	-Baylon, Ryan Baylon</t>
      </text>
    </comment>
    <comment authorId="0" ref="U10">
      <text>
        <t xml:space="preserve">2 for 1
	-Baylon, Ryan Baylon</t>
      </text>
    </comment>
    <comment authorId="0" ref="U9">
      <text>
        <t xml:space="preserve">2 for 1
	-Baylon, Ryan Baylon</t>
      </text>
    </comment>
    <comment authorId="0" ref="U4">
      <text>
        <t xml:space="preserve">equal to 3 courses at CC (yikes!)
	-Baylon, Ryan Baylon</t>
      </text>
    </comment>
    <comment authorId="0" ref="T1">
      <text>
        <t xml:space="preserve">any course in BIO, CHM, MAR, MLS, or PHY
	-Baylon, Ryan Baylon</t>
      </text>
    </comment>
    <comment authorId="0" ref="S1">
      <text>
        <t xml:space="preserve">PHY 113 - Classical Physics I Credits: 4
PHY 114 - Classical Physics II Credits: 4
or
CHM 151 - Principles of Modern Chemistry I Credits: 3
CHM 152 - Principles of Modern Chemistry II Credits: 3
CHM 161 - Introduction to Applied Chemistry I Credits: 1
CHM 162 - Introduction to Applied Chemistry II Credits: 1
or
BIO 121 - Introductory Biology I Credits: 3
BIO 122 - Introductory Biology II Credits: 3
BIO 131 - Introductory Biology Laboratory I Credits: 1
BIO 132 - Introductory Biology Laboratory II Credits: 1
	-Baylon, Ryan Baylon</t>
      </text>
    </comment>
    <comment authorId="0" ref="R1">
      <text>
        <t xml:space="preserve">PHY 113 - Classical Physics I Credits: 4
PHY 114 - Classical Physics II Credits: 4
or
CHM 151 - Principles of Modern Chemistry I Credits: 3
CHM 152 - Principles of Modern Chemistry II Credits: 3
CHM 161 - Introduction to Applied Chemistry I Credits: 1
CHM 162 - Introduction to Applied Chemistry II Credits: 1
or
BIO 121 - Introductory Biology I Credits: 3
BIO 122 - Introductory Biology II Credits: 3
BIO 131 - Introductory Biology Laboratory I Credits: 1
BIO 132 - Introductory Biology Laboratory II Credits: 1
	-Baylon, Ryan Baylon</t>
      </text>
    </comment>
    <comment authorId="0" ref="Q1">
      <text>
        <t xml:space="preserve">(choose from MTH 211, MTH 213, MTH 221, or MTH 331)
	-Baylon, Ryan Baylon</t>
      </text>
    </comment>
    <comment authorId="0" ref="A1">
      <text>
        <t xml:space="preserve">https://catalog.umassd.edu/preview_program.php?catoid=82&amp;poid=11674
	-Baylon, Ryan Baylon</t>
      </text>
    </comment>
    <comment authorId="0" ref="AE16">
      <text>
        <t xml:space="preserve">requires 3 courses though -- thats crazy
	-Baylon, Ryan Baylon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https://www.uml.edu/catalog/undergraduate/sciences/departments/computer-science/degree-pathways/dp-cs-general-2020.aspx
	-Baylon, Ryan Baylon</t>
      </text>
    </comment>
    <comment authorId="0" ref="F3">
      <text>
        <t xml:space="preserve">???
	-Baylon, Ryan Baylon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https://www.westfield.ma.edu/academics/degrees/computer-science-degree-bs#:~:text=This%20program%20of%20study%20requires,fulfill%204%20core%20course%20requirements).
	-Baylon, Ryan Baylon</t>
      </text>
    </comment>
    <comment authorId="0" ref="V1">
      <text>
        <t xml:space="preserve">why is this a 300 level course??
	-Baylon, Ryan Baylon</t>
      </text>
    </comment>
    <comment authorId="0" ref="M2">
      <text>
        <t xml:space="preserve">their calc II transfers as calc I 
X__X
	-Baylon, Ryan Baylon</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https://tes.collegesource.com/publicview/TES_publicview01.aspx?rid=a8fc3ff7-1480-4527-9f63-ff890ade6438&amp;aid=adea4803-0c14-43f0-a705-0621f3052998
	-Baylon, Ryan Baylon</t>
      </text>
    </comment>
    <comment authorId="0" ref="V1">
      <text>
        <t xml:space="preserve">math 190 or up (ecept 93 and 202)
any biotech
any chem
any comm sci
env sci 120&gt;
2 in health
any course in geo/earth
3 in occupational studies
phys any above 101
	-Baylon, Ryan Baylon</t>
      </text>
    </comment>
    <comment authorId="0" ref="U1">
      <text>
        <t xml:space="preserve">math 190 or up (ecept 93 and 202)
any biotech
any chem
any comm sci
env sci 120&gt;
2 in health
any course in geo/earth
3 in occupational studies
phys any above 101
	-Baylon, Ryan Baylon</t>
      </text>
    </comment>
    <comment authorId="0" ref="A1">
      <text>
        <t xml:space="preserve">https://catalog.worcester.edu/undergraduate/school-education-health-natural-sciences/computer-science/major-computer-science/#requirementstext
	-Baylon, Ryan Baylon</t>
      </text>
    </comment>
    <comment authorId="0" ref="H7">
      <text>
        <t xml:space="preserve">no way
	-Baylon, Ryan Baylon</t>
      </text>
    </comment>
    <comment authorId="0" ref="H14">
      <text>
        <t xml:space="preserve">no way
	-Baylon, Ryan Baylon</t>
      </text>
    </comment>
    <comment authorId="0" ref="H8">
      <text>
        <t xml:space="preserve">no way
	-Baylon, Ryan Baylon</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What I found on my own:
Computers/ Appl: An Intro, Cobol I, 2D Design, Logic and Computers, Computer Science I, Computer Science II, Cobol II, Database Applications, Intro to Computer Organization, 79 CS Electives
	-Baylon, Ryan Baylon</t>
      </text>
    </comment>
    <comment authorId="0" ref="J6">
      <text>
        <t xml:space="preserve">I got banned from transferology :/
	-Baylon, Ryan Baylon</t>
      </text>
    </comment>
    <comment authorId="0" ref="B1">
      <text>
        <t xml:space="preserve">idek how to think about MCLA
	-Baylon, Ryan Baylon</t>
      </text>
    </comment>
    <comment authorId="0" ref="A21">
      <text>
        <t xml:space="preserve">formula to count list items
=COUNTA(SPLIT(B2,","))
	-Baylon, Ryan Baylon</t>
      </text>
    </comment>
  </commentList>
</comments>
</file>

<file path=xl/sharedStrings.xml><?xml version="1.0" encoding="utf-8"?>
<sst xmlns="http://schemas.openxmlformats.org/spreadsheetml/2006/main" count="739" uniqueCount="341">
  <si>
    <t>Lower Division</t>
  </si>
  <si>
    <t>Comp</t>
  </si>
  <si>
    <t>Math</t>
  </si>
  <si>
    <t>Science</t>
  </si>
  <si>
    <t>Humanities</t>
  </si>
  <si>
    <t>Bridgewater Potential</t>
  </si>
  <si>
    <t>Bridgewater Actual</t>
  </si>
  <si>
    <t>Fitchburg Potential</t>
  </si>
  <si>
    <t>Fitchburg Actual</t>
  </si>
  <si>
    <t>Framingham Potential</t>
  </si>
  <si>
    <t>Framingham Actual</t>
  </si>
  <si>
    <t>MCLA Potential</t>
  </si>
  <si>
    <t>MCLA Actual</t>
  </si>
  <si>
    <t>Salem Potential</t>
  </si>
  <si>
    <t>Salem Actual</t>
  </si>
  <si>
    <t>Amherst Potential</t>
  </si>
  <si>
    <t>Amherst Actual</t>
  </si>
  <si>
    <t>Boston Potential</t>
  </si>
  <si>
    <t>Boston Actual</t>
  </si>
  <si>
    <t>Dartmouth Potential</t>
  </si>
  <si>
    <t>Dartmouth Actual</t>
  </si>
  <si>
    <t>Lowell Potential</t>
  </si>
  <si>
    <t>Lowell Actual</t>
  </si>
  <si>
    <t>Westfield Potential</t>
  </si>
  <si>
    <t>Westfield Actual</t>
  </si>
  <si>
    <t>Worcester Potential</t>
  </si>
  <si>
    <t>Worcester Actual</t>
  </si>
  <si>
    <t>Avg</t>
  </si>
  <si>
    <t>Upper Division</t>
  </si>
  <si>
    <t>Lower</t>
  </si>
  <si>
    <t>Upper</t>
  </si>
  <si>
    <t>MT</t>
  </si>
  <si>
    <t>Computer Science I (COMP 151)</t>
  </si>
  <si>
    <t>Computer Science II (COMP 152)</t>
  </si>
  <si>
    <t>Introduction to Computer Organization (COMP 206)</t>
  </si>
  <si>
    <t>Data Structures and Algorithms (COMP 250)</t>
  </si>
  <si>
    <t>Linear Algebra (MATH 120 or MATH 202)</t>
  </si>
  <si>
    <t>Discrete Mathematics I (MATH 130)</t>
  </si>
  <si>
    <t>Single Variable Calculus I (MATH 161)</t>
  </si>
  <si>
    <t>Single Variable Calculus II (MATH 162)</t>
  </si>
  <si>
    <t>Statistical Methods I  (MATH 200)</t>
  </si>
  <si>
    <t>Natural Science Elective</t>
  </si>
  <si>
    <t>Organization of Programming Languages (COMP 340)</t>
  </si>
  <si>
    <t>Operating Systems (COMP 350)</t>
  </si>
  <si>
    <t>Software Engineering (COMP 390)</t>
  </si>
  <si>
    <t>Computer Networks (COMP 430)</t>
  </si>
  <si>
    <t>Analysis of Algorithms (COMP 435)</t>
  </si>
  <si>
    <t>Senior Design and Development (COMP 490)</t>
  </si>
  <si>
    <t>Upper Level Elective (3000)</t>
  </si>
  <si>
    <t>Berkshire</t>
  </si>
  <si>
    <t>Bristol</t>
  </si>
  <si>
    <t>Bunker Hill</t>
  </si>
  <si>
    <t>Cape Cod</t>
  </si>
  <si>
    <t>Greenfield</t>
  </si>
  <si>
    <t>Holyoke</t>
  </si>
  <si>
    <t>Massasoit</t>
  </si>
  <si>
    <t>MassBay</t>
  </si>
  <si>
    <t>Middlesex</t>
  </si>
  <si>
    <t>Mount Wachusett</t>
  </si>
  <si>
    <t>North Shore</t>
  </si>
  <si>
    <t>Northern Essex</t>
  </si>
  <si>
    <t>Quinsigamond</t>
  </si>
  <si>
    <t>Roxbury</t>
  </si>
  <si>
    <t>Springfield Technical</t>
  </si>
  <si>
    <t>Total</t>
  </si>
  <si>
    <t>Electives</t>
  </si>
  <si>
    <t>Unadded</t>
  </si>
  <si>
    <t>"Credit for two of the following based on transcript review"</t>
  </si>
  <si>
    <t>All 3</t>
  </si>
  <si>
    <t>Computer Science I (CSC 1500)</t>
  </si>
  <si>
    <t>Computer Science II (CSC 1550)</t>
  </si>
  <si>
    <t>Digital Electronics (CSC 1650)</t>
  </si>
  <si>
    <t>Systems Programming (CSC 2560)</t>
  </si>
  <si>
    <t>Computer Organization (CSC 2600)</t>
  </si>
  <si>
    <t>Discrete Mathematics (CSC 1900)</t>
  </si>
  <si>
    <t>Calculus I (MATH 2300)</t>
  </si>
  <si>
    <t>Business Statistics (MATH 1800)</t>
  </si>
  <si>
    <t>Calculus II (MATH 2400)</t>
  </si>
  <si>
    <t>Linear Algebra (MATH 2600)</t>
  </si>
  <si>
    <t>Web Programming (CSC 3050)</t>
  </si>
  <si>
    <t>Operating Systems (CSC 3100)</t>
  </si>
  <si>
    <t>Programming Languages (CSC 3200)</t>
  </si>
  <si>
    <t>Algorithms and Data Structures (CSC 3700)</t>
  </si>
  <si>
    <t>Ethics and Impacts of Computing Solutions (CSC 4100)</t>
  </si>
  <si>
    <t>Software Engineering (CSC 4400)</t>
  </si>
  <si>
    <t>Introduction to Information Technology (CSCI 120)</t>
  </si>
  <si>
    <t>Computer Science I using Java (CSCI 130)</t>
  </si>
  <si>
    <t>Computer Science Professional Exploration Seminar (CSCI 200)</t>
  </si>
  <si>
    <t>Computer Science II using Java (CSCI 215)</t>
  </si>
  <si>
    <t>Introduction to Operating Systems using UNIX (CSCI 258)</t>
  </si>
  <si>
    <t>Discrete Mathematics I (MATH 206)</t>
  </si>
  <si>
    <t>Probability and Statistics (STAT 157)</t>
  </si>
  <si>
    <t>Data Structures (CSCI 217)</t>
  </si>
  <si>
    <t>Natural Science</t>
  </si>
  <si>
    <t>DataBase Management (CSCI 360)</t>
  </si>
  <si>
    <t>Discrete Structures (CSCI 317)</t>
  </si>
  <si>
    <t>Analysis of Algorithms (CSCI 347)</t>
  </si>
  <si>
    <t>Computer Architecture &amp; Assembly Language (CSCI 352)</t>
  </si>
  <si>
    <t>Software Engineering (CSCI 362)</t>
  </si>
  <si>
    <t>Theory of Computing (CSCI 460)</t>
  </si>
  <si>
    <t>Operating Systems Internals (CSCI 465)</t>
  </si>
  <si>
    <t>Computer Networking (CSCI 477)</t>
  </si>
  <si>
    <t>Upper Level Elective</t>
  </si>
  <si>
    <t>Introduction to Computer Science (CSCI  101)</t>
  </si>
  <si>
    <t>Programming in Java I (CSCI 121)</t>
  </si>
  <si>
    <t>Programming in Java II (CSCI 122)</t>
  </si>
  <si>
    <t>Network Theory and Administration I (CSCI 210)</t>
  </si>
  <si>
    <t>Programming in Java III (CSCI 221)</t>
  </si>
  <si>
    <t>Data Structures and Algorithms (CSCI 361)</t>
  </si>
  <si>
    <t>Digital Circuit Design CSCI 235)</t>
  </si>
  <si>
    <t>Programming in Java IV (CSCI 222)</t>
  </si>
  <si>
    <t>Web Development (CSCI 236)</t>
  </si>
  <si>
    <t>Database Development (CSCI 243</t>
  </si>
  <si>
    <t>General Physics (PHYS 131) or Intro to Mechanics (PHYS 151)</t>
  </si>
  <si>
    <t>Discrete Mathematics (MATH 250)</t>
  </si>
  <si>
    <t>Business Writing and Presentation (ENGL 306)</t>
  </si>
  <si>
    <t>Operating Systems (CSCI 362)</t>
  </si>
  <si>
    <t>Programming in C++ (CSCI 330)</t>
  </si>
  <si>
    <t>Computer Organization &amp; Assembly Language (CSCI 318)</t>
  </si>
  <si>
    <t>Object Oriented Design (CSCI 328)</t>
  </si>
  <si>
    <t>Server Side Software Development (CSCI 343)</t>
  </si>
  <si>
    <t>Junior Qualification Symposium (CSCI 390)</t>
  </si>
  <si>
    <t>Senior Project I (CSCI 461)</t>
  </si>
  <si>
    <t>Software Engineering (CSCI 452)</t>
  </si>
  <si>
    <t>Senior Project II (CSCI 462)</t>
  </si>
  <si>
    <t>Upper Level Elective (300)</t>
  </si>
  <si>
    <t>Survery of Computer Science (CSC 105)</t>
  </si>
  <si>
    <t>Software Design and Programming I (CSC 110)</t>
  </si>
  <si>
    <t>Software Design and Programming II (CSC 115)</t>
  </si>
  <si>
    <t>Data Structures and Algorithms (CSC 260)</t>
  </si>
  <si>
    <t>Computer Architecture and Organization (CSC 295)</t>
  </si>
  <si>
    <t>Concepts of Programming Languages (CSC 299)</t>
  </si>
  <si>
    <t>Statistics (MAT 147)</t>
  </si>
  <si>
    <t>Discrete Structures (MAT 214A)</t>
  </si>
  <si>
    <t>Calculus I (MAT 220)</t>
  </si>
  <si>
    <t>Calculus II (MAT 221)</t>
  </si>
  <si>
    <t>CSC Elective</t>
  </si>
  <si>
    <t>Math Elective (post calc II)</t>
  </si>
  <si>
    <t>Software Engineering I (CSC 300)</t>
  </si>
  <si>
    <t>Operating System Principles (CSC 381)</t>
  </si>
  <si>
    <t>Analysis of Algorithms (CSC 415)</t>
  </si>
  <si>
    <t>Computer Science Capstone Project Specifications (CSC 520)</t>
  </si>
  <si>
    <t>Computer Science Capstone Project (CSC 521)</t>
  </si>
  <si>
    <t>Source</t>
  </si>
  <si>
    <t>Foundations of Programming (CICS 110)</t>
  </si>
  <si>
    <t>Object Oriented Programming (CICS 160)</t>
  </si>
  <si>
    <t>Data Structures (CICS 210)</t>
  </si>
  <si>
    <t>Programming Methodology (COMPSCI 220)</t>
  </si>
  <si>
    <t>Introduction to the C Programming Language (COMPSCI 198C)</t>
  </si>
  <si>
    <t>Computer Systems Principles (COMPSCI 230)</t>
  </si>
  <si>
    <t>Reasoning About Uncertainty (COMPSCI 240)</t>
  </si>
  <si>
    <t>Introduction to Computation (COMPSCI 250)</t>
  </si>
  <si>
    <t>Calculus I (MATH 131)</t>
  </si>
  <si>
    <t>Calculus II (MATH 132)</t>
  </si>
  <si>
    <t>Multivariate Calculus (MATH 233) OR Statistics I (STATISTIC 515)</t>
  </si>
  <si>
    <t>Introduction to Linear Algebra (MATH 235)</t>
  </si>
  <si>
    <t>Introduction to Algorithms (COMPSCI 311)</t>
  </si>
  <si>
    <t>Upper Level Elective (400)</t>
  </si>
  <si>
    <t>Introduction to Computing (CS 110)</t>
  </si>
  <si>
    <t>Intermediate Computing with Data Structures (CS 210)</t>
  </si>
  <si>
    <t>Applied Discrete Mathematics (CS 220)</t>
  </si>
  <si>
    <t>Programming in C (CS 240)</t>
  </si>
  <si>
    <t>Social Issues and Ethics in Computing (CS 285L)</t>
  </si>
  <si>
    <t>Calculus I (MATH 140)</t>
  </si>
  <si>
    <t>Calculus II (MATH 141)</t>
  </si>
  <si>
    <t>Linear Algebra I (MATH 260)</t>
  </si>
  <si>
    <t xml:space="preserve">Fundamentals of Physics I and Lab (PHYSIC 113 and PHYSIC 181) </t>
  </si>
  <si>
    <t>Fundamentals of Physics II and Lab (PHYSIC 114 and PHYSIC 182)</t>
  </si>
  <si>
    <t>Probability and Statistics (MATH 345)</t>
  </si>
  <si>
    <t>Advanced Data Structures and Algorithms (CS 310)</t>
  </si>
  <si>
    <t>Computer Architecture and Organization (CS 341)</t>
  </si>
  <si>
    <t>An Introduction to Software Engineering (CS 410)</t>
  </si>
  <si>
    <t>An Introduction to the Theory of Computation (CS 420)</t>
  </si>
  <si>
    <t>An Introduction to Operating Systems (CS 444)</t>
  </si>
  <si>
    <t>Introduction to Internetworking (CS 446)</t>
  </si>
  <si>
    <t xml:space="preserve">Introductoin to Computer Security (CS 449) </t>
  </si>
  <si>
    <t>Compilers (CS451)</t>
  </si>
  <si>
    <t>All of this is unofficial through transferology, but UMB doesnt have any official transfer stuff. (aaa)</t>
  </si>
  <si>
    <t>Object-Oriented Prog I (CIS 180)</t>
  </si>
  <si>
    <t>Object-Oriented Prog II (CIS 181)</t>
  </si>
  <si>
    <t>Intro to Procedural Program (CIS 190)</t>
  </si>
  <si>
    <t>Intro to Computer Systems (CIS 272)</t>
  </si>
  <si>
    <t>Comp Organiztn &amp; Design (CIS 273)</t>
  </si>
  <si>
    <t>Software Spec &amp; Design (CIS 280)</t>
  </si>
  <si>
    <t>Calculus for Applied Science and Engineering I (MTH 153 or MTH 151)</t>
  </si>
  <si>
    <t>Calculus for Applied Science and Engineering II (MTH 154 or MTH 152)</t>
  </si>
  <si>
    <t>Discrete Mathematics I (MTH 181)</t>
  </si>
  <si>
    <t>Discrete Mathematics II (MTH 182)</t>
  </si>
  <si>
    <t>Introduction to Engineering and Computing (EGR 111)</t>
  </si>
  <si>
    <t>Any Elective</t>
  </si>
  <si>
    <t>Math Elective</t>
  </si>
  <si>
    <t>Algorithms &amp; Data Struct (CIS 360)</t>
  </si>
  <si>
    <t>Models of Computation (CIS 361)</t>
  </si>
  <si>
    <t>Design Of Operating Syst (CIS 370)</t>
  </si>
  <si>
    <t>Paral&amp;Distr Sftware Syst (CIS 481)</t>
  </si>
  <si>
    <t>Senior Software Engineering Project I (CIS 498)</t>
  </si>
  <si>
    <t>Senior Software Engineering Project II (CIS 499)</t>
  </si>
  <si>
    <t>Emperical Meth Comp Sci (CIS 362)</t>
  </si>
  <si>
    <t>Computing I (COMP 1010)</t>
  </si>
  <si>
    <t>Computing II (COMP 1020)</t>
  </si>
  <si>
    <t>Computing III (COMP 2010)</t>
  </si>
  <si>
    <t>Computing IV (COMP 2040)</t>
  </si>
  <si>
    <t>Assembly Language Programming (COMP 2030)</t>
  </si>
  <si>
    <t>Logic Design (EECE 2650)</t>
  </si>
  <si>
    <t>College Writing I (ENGL 1010)</t>
  </si>
  <si>
    <t>College Writing II (ENGL 1020)</t>
  </si>
  <si>
    <t>Oral &amp; Written Communication for Computer Science (ENGL 2200)</t>
  </si>
  <si>
    <t>Calculus I (MATH 1310)</t>
  </si>
  <si>
    <t>Calculus II (MATH 1320)</t>
  </si>
  <si>
    <t>Discrete Structures I (MATH 2190)</t>
  </si>
  <si>
    <t>General Elective (any course)</t>
  </si>
  <si>
    <t>Technical Elective (3000 if COMP)</t>
  </si>
  <si>
    <t>Discrete Structures II (MATH 3220)</t>
  </si>
  <si>
    <t>Probability &amp; Statistics I (MATH 3860)</t>
  </si>
  <si>
    <t>Foundations of Computer Science (COMP 3040)</t>
  </si>
  <si>
    <t>Computer Architecture (COMP 3050)</t>
  </si>
  <si>
    <t>Organization of Programming Languages (COMP 3010)</t>
  </si>
  <si>
    <t>Operating Systems (COMP 3080)</t>
  </si>
  <si>
    <t>Analysis of Algorithms (COMP 4040)</t>
  </si>
  <si>
    <t>Computer Science Principles (CAIS 0102)</t>
  </si>
  <si>
    <t>Computer Science/Program Design I (CAIS 0120)</t>
  </si>
  <si>
    <t>Computer Science/Program Design II (CAIS 0220)</t>
  </si>
  <si>
    <t>Data Structures/Algorithm Analysis (CAIS 0230)</t>
  </si>
  <si>
    <t>Computer Organization and Architecture (CAIS 0236)</t>
  </si>
  <si>
    <t>Software Engineering (CAIS 0240)</t>
  </si>
  <si>
    <t>Introduction to Digital Electronics and Microprocessors (CAIS 0265)</t>
  </si>
  <si>
    <t>Introduction to Computer Security (CAIS 0290)</t>
  </si>
  <si>
    <t>Calculus I (MATH 0105)</t>
  </si>
  <si>
    <t>Calculus II (MATH 0106)</t>
  </si>
  <si>
    <t>Discrete Structures (MATH 0220)</t>
  </si>
  <si>
    <t>Applied Statistical and Experimental Design (MATH 0333)</t>
  </si>
  <si>
    <t>Mathematical Statistics I (MATH 0340)</t>
  </si>
  <si>
    <t>Business and Technical Writing (ENGL 0392)</t>
  </si>
  <si>
    <t>Computer Science Seminar (CAIS 0302)</t>
  </si>
  <si>
    <t>Elements of Systems Programming (CAIS 0305)</t>
  </si>
  <si>
    <t>Organization of Programming Languages (CAIS 0307)</t>
  </si>
  <si>
    <t>Database Management (CAIS 0310)</t>
  </si>
  <si>
    <t>Operating Systems (CAIS 0339)</t>
  </si>
  <si>
    <t>Introduction to Networking (CAIS 0347)</t>
  </si>
  <si>
    <t>Introduction to the Theory of Computation (CAIS 0351)</t>
  </si>
  <si>
    <t>Computer Science Senior Project (CAIS 0363)</t>
  </si>
  <si>
    <t>Basics of Computer Science (CS 101)</t>
  </si>
  <si>
    <t xml:space="preserve"> Introduction to Programming (CS 140)</t>
  </si>
  <si>
    <t>Computer Networking and Security (CS 155)</t>
  </si>
  <si>
    <t>Discrete Structures I (CS 225)</t>
  </si>
  <si>
    <t>Discrete Structures II (CS 295)</t>
  </si>
  <si>
    <t>Data Structures (CS 242)</t>
  </si>
  <si>
    <t>Algorithm Analysis (CS 248)</t>
  </si>
  <si>
    <t>Computer Organization and Architecture (CS 254)</t>
  </si>
  <si>
    <t>Unix Systems Programming (CS 282)</t>
  </si>
  <si>
    <t>Database Design and Applications (CS 286)</t>
  </si>
  <si>
    <t>Public Speaking (CM 110)</t>
  </si>
  <si>
    <t>Technical Writing (EN 252)</t>
  </si>
  <si>
    <t>Technology, Public Policy, and Urban Society (UR 230) OR Computing Ethics (PH 134)</t>
  </si>
  <si>
    <t>Calculus I (MA 200)</t>
  </si>
  <si>
    <t>Math/Natural Science Elective</t>
  </si>
  <si>
    <t>Statistics I (MA 150) OR Probability and Statistics (MA 302)</t>
  </si>
  <si>
    <t>Software Process Management (CS 348)</t>
  </si>
  <si>
    <t>Operating Systems (CS 373)</t>
  </si>
  <si>
    <t>MCLA</t>
  </si>
  <si>
    <t>Bridgewater</t>
  </si>
  <si>
    <t>Fitchburg</t>
  </si>
  <si>
    <t>UMass Amherst</t>
  </si>
  <si>
    <t>UMass Dartmouth</t>
  </si>
  <si>
    <t>Salem</t>
  </si>
  <si>
    <t>Westfield</t>
  </si>
  <si>
    <t>Worcester</t>
  </si>
  <si>
    <t>UMass Boston</t>
  </si>
  <si>
    <t>UMass Lowell</t>
  </si>
  <si>
    <t>MassArt</t>
  </si>
  <si>
    <t>Massachusetts Maritime Academy</t>
  </si>
  <si>
    <t>Fundamental Computer Lit, Computer Science I, Computer Science II, Web Development, Data Structures and Algorithms, Spreadsheet/Database, Computer Sci w/ Java, Computer Sci II w/ Java</t>
  </si>
  <si>
    <t>Calc I, Calc II, Phys I, Phys II, Systems, Organization, Electronics,  Structures, CS I, CS II, Discrete, Linear</t>
  </si>
  <si>
    <t>Calc I, Calc II, Phys I, Phys II, CS I, CS II, OOD, Structures, CS Elective, CS Elective, Linear</t>
  </si>
  <si>
    <t>Data Structures and Algorithms, CS Elective, Survey of Computer Science I</t>
  </si>
  <si>
    <t>Microcomputer Applications, Introduction to Programming, Computer Networking and Security, Data Structures, 4 CS Electives</t>
  </si>
  <si>
    <t>Introduction to Java, Introduction to Computing, Introduction to Networks, 9 CS Electives</t>
  </si>
  <si>
    <t>Computing II, Exploring the Internet, Assembly Language Programming, 5 CS Electives</t>
  </si>
  <si>
    <t>Calculus I, Calculus II, Physics I, Physics II, Computer Science I, Computer Science II, Data Structures and Algortithms, Introduction to Computer Organization, 2 CS Electives, Introduction to Linear Algebra, Discrete Mathematics I</t>
  </si>
  <si>
    <t>Calculus I, Calculus II, Physics I, Physics II, Computer Science I, Computer Science II, Algorithms and Data Structures, Digital Electronics, Systems Programming, Computer Organization, Discrete Mathematics, Linear Algebra</t>
  </si>
  <si>
    <t>Calculus I, Calculus II, Physics I, Physics II, Introduction to Programming, Foundations of Programming, Object-Oriented Programming, Data Structures, 2 CS Electives, Introduction to Computation, Intro to Linear Algebra</t>
  </si>
  <si>
    <t>Calculus I, Calculus II, Physics I, Physics II, Object-Ortiented Prog I, Object-Ortiented Prog II, Intro to Procedural Program, Comp Organiztn &amp; Design, Software Specifications and Design, Intro to Computing Systems, Discrete Mathematics I, Linear Algebra</t>
  </si>
  <si>
    <t>None</t>
  </si>
  <si>
    <t>Introduction to Programming, Microcomputer Applications</t>
  </si>
  <si>
    <t>Introduction to Computer Concepts, Introduction to Computing, Introduction to Java, 22 CS Electives</t>
  </si>
  <si>
    <t>Computing I, Computing III, Computing IV, Exploring the Internet, 16 CS Electives</t>
  </si>
  <si>
    <t>Computers/ Appl: An Intro, 40 CS Electives</t>
  </si>
  <si>
    <t>Computer Literacy, Intro Problem Solving w/Computers, Programming w/ Data Structures</t>
  </si>
  <si>
    <t xml:space="preserve">Software Design and Programming I, Computer Security Basics, Survey of Computer Science, Software Design and Programming II, Data Structures and Algorithms, C+C++, 60 CS Electives </t>
  </si>
  <si>
    <t>Data Mining, Introduction to Programming, 7 CS Electives</t>
  </si>
  <si>
    <t>Introduction to Computing, Introduction to Java, 14 CS Electives</t>
  </si>
  <si>
    <t>Computing I, Computing II, Computing III, Computing IV, Exploring the Internet, 38 CS Electives</t>
  </si>
  <si>
    <t>Software Design and Programming I, Software Design and Programming II, Data Structures and Algorithms, 11 CS Electives</t>
  </si>
  <si>
    <t>Microcomputer Applications, Progamming for Non-CS Majors, 1 CS Elective</t>
  </si>
  <si>
    <t xml:space="preserve">Computing I, Computing II, Exploring the Internet, Assembly Language Programming, 16 CS Electives </t>
  </si>
  <si>
    <t>Calc I, Calc II, Phys I, Phys II, CS I, CS II,  Structures, Organization, CS Elective, CS Elective, Linear, Discrete</t>
  </si>
  <si>
    <t>Calc I, Calc II, Phys I, Phys II, CS I, CS II, Structures, Electronics, Systems, Organization, Discrete, Linear</t>
  </si>
  <si>
    <t>Calc I, Calc II, Phys I, Phys II, Intro, Foundations, OOP, Structures, CS Elective, CS Elective, Linear</t>
  </si>
  <si>
    <t>Calc I, Calc II, Phys I, Phys II, OOP I, OOP II, Organization, Systems, Specifications, Procedural Programming, Linear</t>
  </si>
  <si>
    <t>The Personal Computer, Web-Based Application Development, Computer Science I, Data Structures/Algorithm Analysis, Discrete Structures, 5 CS Electives</t>
  </si>
  <si>
    <t>Microcomputer Applications, Progamming for Non-CS Majors, 2 CS Electives</t>
  </si>
  <si>
    <t>5 CS Electives</t>
  </si>
  <si>
    <t>Computing II, 2 CS Electives</t>
  </si>
  <si>
    <t>Computers/ Appl: An Intro, 11 CS Electives</t>
  </si>
  <si>
    <t>Programming w/ Data Structures</t>
  </si>
  <si>
    <t>Microcomputer Applications, Data Structures, Database Applications, Computer Networking and Security, Introduction to Programming, 3 CS Electives</t>
  </si>
  <si>
    <t>Exploring the Internet, 6 CS Electives</t>
  </si>
  <si>
    <t>Calc I, Calc II, Phys I, Phys II, Intro, Foundations, OOP, Structures, CS Elective, CS Elective, Linear, Discrete</t>
  </si>
  <si>
    <t>Calc I, Calc II, Phys I, Phys II, OOP I, OOP II, Organization, Systems, Specifications, Procedural Programming, Discrete</t>
  </si>
  <si>
    <t>Data Mining for Non-CS Majors, Microcomputer Applications, Basics of Computer Science, Introduction to Programming, Data Structures, Discrete Structures II, 6 CS Electives</t>
  </si>
  <si>
    <t>Computing II, Assembly Language Programming, Exploring the Internet, 6 CS Electives</t>
  </si>
  <si>
    <t>Survey of Computer Science, Software Design and Programming I, Software Design and Programming II, Computer Architecture and Organization, 1 CS Elective</t>
  </si>
  <si>
    <t>Microcomputer Applications, Basics of Web Design, Computer Networking Security and Databases, Advanced Web Design, Introduction to Programming, Programming for Non-CS Majors, Data Structures, Unix Systems Programming, Computer Organization and Architecture, 8 Electives</t>
  </si>
  <si>
    <t>Computing I, Computing II, Computing III, Computing IV, Exploring the Internet, Assembly Language Programming, 20 CS Electives</t>
  </si>
  <si>
    <t>Calc I, Calc II, Physics I, Physics II, CS I, CS II, Data Structures, Computer Organization, CS Elective, CS Elective, Discrete, Linear Algebra</t>
  </si>
  <si>
    <t>Calc I, Calc II, Physics I, Physics II, Data Structures, Computer Organization, Digital Electronics, Systems Programming, CS I, CS II, Discrete Math, Linear Algebra</t>
  </si>
  <si>
    <t>Calc I, Calc II, Pys I, Phys II, CS I, CS II, Linear, Structures, CS Elective, OOD, CS Elective</t>
  </si>
  <si>
    <t>Software Design and Programming I, 4 CS Electives</t>
  </si>
  <si>
    <t>Operating Systems, Digital Forensics, Introduction to Programming, Computer Organization and Architecture, Data Structures, 2 CS Electives</t>
  </si>
  <si>
    <t>Computing I, Computing II, Computing III, Assembly Language Programming, 24 CS Electives</t>
  </si>
  <si>
    <t>Computers/ Appl: An Intro, 14 CS Electives</t>
  </si>
  <si>
    <t>1 CS Elective</t>
  </si>
  <si>
    <t>Microcomputer Applications, Programming for Non-CS Majors, Basics of Web Design, Introduction to Programming, Advanced Web Design, 2 CS Electives</t>
  </si>
  <si>
    <t>Exploring the Internet, 17 CS Electives</t>
  </si>
  <si>
    <t>Calc I, Calc II, Physics I, Physics II, Computer Science I, Computer Science II, Data Structures and Algorithms, Introduction to Computer Organization, Discrete Mathematics, 2 CS Electives</t>
  </si>
  <si>
    <t>Calculus I, Calculus II, Physics I, Physics II, Introduction to Programming, Foundations of Programming, Object-Oriented Programming, Data Structures, 2 CS Electives, Intro to Linear Algebra</t>
  </si>
  <si>
    <t>Software Design and Programming I, Software Design and Programming II, Operating System Principles, Data Structures and Algorithms, Computer Networks and Data Communications, Database Systems, Scripting Techniques, Microcomputing Systems, 11 CS Electives</t>
  </si>
  <si>
    <t>Microcomputing Applications, Introduction to Programming, 2 CS Electives</t>
  </si>
  <si>
    <t>Computing I, Computing II, Computing III, Assembly Language Programming, Exploring the Internet, 11 CS Electives</t>
  </si>
  <si>
    <t>Calculus I, Calculus II, Physics I, Physics II, Introduction to Programming, Foundations of Programming, Object-Oriented Programming, Data Structures, 2 CS Electives</t>
  </si>
  <si>
    <t>Survey of Computer Science, Database Systems, Computer Security Basics, Operating System Principles, Software Design and Programming I, Scripting Techniques, Data Structures and Algorithms, Embedded Systems, 18 CS Electives</t>
  </si>
  <si>
    <t>Microcomputing Applications, Basics of Computer Science, Computer Networking and Security, 1 CS Elective</t>
  </si>
  <si>
    <t>Computing I, Computing II, Computing III, Exploring the Internet, Assembly Language Programming, 17 CS Elective</t>
  </si>
  <si>
    <t>Computer Security Basics</t>
  </si>
  <si>
    <t>Computing I, Computing II, Computing III, Assembly Language Programming, Exploring the Internet, 13 CS Electives</t>
  </si>
  <si>
    <t>Computers/ Appl: An Intro, Cobol I, Cobol II, Programming in Basic, 25 CS Electives</t>
  </si>
  <si>
    <t>2 CS Electives</t>
  </si>
  <si>
    <t>Microcomputer Applications, Basics of Computer Science, 4 CS Electives</t>
  </si>
  <si>
    <t>Computing I, Exploring the Internet, 3 CS Electives</t>
  </si>
  <si>
    <t>Microcomputer Applications, Basics of Computer Science, Computer Organization and Architecture</t>
  </si>
  <si>
    <t>Computing I, Computing II, Assembly Language Programming, Intro to Computer Security, Exploring the Internet, 27 CS Electives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</si>
</sst>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000000"/>
      <name val="Arial"/>
    </font>
    <font>
      <u/>
      <color rgb="FF0000FF"/>
    </font>
  </fonts>
  <fills count="14">
    <fill>
      <patternFill patternType="none"/>
    </fill>
    <fill>
      <patternFill patternType="lightGray"/>
    </fill>
    <fill>
      <patternFill patternType="solid">
        <fgColor rgb="FFB4A7D6"/>
        <bgColor rgb="FFB4A7D6"/>
      </patternFill>
    </fill>
    <fill>
      <patternFill patternType="solid">
        <fgColor rgb="FFA4C2F4"/>
        <bgColor rgb="FFA4C2F4"/>
      </patternFill>
    </fill>
    <fill>
      <patternFill patternType="solid">
        <fgColor rgb="FFFFD966"/>
        <bgColor rgb="FFFFD966"/>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D9EAD3"/>
        <bgColor rgb="FFD9EAD3"/>
      </patternFill>
    </fill>
    <fill>
      <patternFill patternType="solid">
        <fgColor rgb="FFA2C4C9"/>
        <bgColor rgb="FFA2C4C9"/>
      </patternFill>
    </fill>
    <fill>
      <patternFill patternType="solid">
        <fgColor rgb="FFFFFFFF"/>
        <bgColor rgb="FFFFFFFF"/>
      </patternFill>
    </fill>
    <fill>
      <patternFill patternType="solid">
        <fgColor rgb="FFEA9999"/>
        <bgColor rgb="FFEA9999"/>
      </patternFill>
    </fill>
    <fill>
      <patternFill patternType="solid">
        <fgColor theme="9"/>
        <bgColor theme="9"/>
      </patternFill>
    </fill>
    <fill>
      <patternFill patternType="solid">
        <fgColor rgb="FFCCCCCC"/>
        <bgColor rgb="FFCCCCCC"/>
      </patternFill>
    </fill>
  </fills>
  <borders count="1">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2" fontId="1" numFmtId="4" xfId="0" applyAlignment="1" applyFont="1" applyNumberFormat="1">
      <alignment readingOrder="0"/>
    </xf>
    <xf borderId="0" fillId="3" fontId="1" numFmtId="4" xfId="0" applyAlignment="1" applyFont="1" applyNumberFormat="1">
      <alignment readingOrder="0"/>
    </xf>
    <xf borderId="0" fillId="4" fontId="1" numFmtId="4" xfId="0" applyAlignment="1" applyFont="1" applyNumberFormat="1">
      <alignment readingOrder="0"/>
    </xf>
    <xf borderId="0" fillId="5" fontId="1" numFmtId="4" xfId="0" applyAlignment="1" applyFont="1" applyNumberFormat="1">
      <alignment readingOrder="0"/>
    </xf>
    <xf borderId="0" fillId="0" fontId="1" numFmtId="0" xfId="0" applyAlignment="1" applyFont="1">
      <alignment readingOrder="0"/>
    </xf>
    <xf borderId="0" fillId="0" fontId="1" numFmtId="4" xfId="0" applyFont="1" applyNumberFormat="1"/>
    <xf borderId="0" fillId="0" fontId="1" numFmtId="10" xfId="0" applyFont="1" applyNumberFormat="1"/>
    <xf borderId="0" fillId="2" fontId="1" numFmtId="0" xfId="0" applyFont="1"/>
    <xf borderId="0" fillId="3" fontId="1" numFmtId="0" xfId="0" applyFont="1"/>
    <xf borderId="0" fillId="4" fontId="1" numFmtId="0" xfId="0" applyFont="1"/>
    <xf borderId="0" fillId="5" fontId="1" numFmtId="0" xfId="0" applyFont="1"/>
    <xf borderId="0" fillId="2" fontId="1" numFmtId="10" xfId="0" applyFont="1" applyNumberFormat="1"/>
    <xf borderId="0" fillId="3" fontId="1" numFmtId="10" xfId="0" applyFont="1" applyNumberFormat="1"/>
    <xf borderId="0" fillId="6" fontId="1" numFmtId="10" xfId="0" applyFill="1" applyFont="1" applyNumberFormat="1"/>
    <xf borderId="0" fillId="5" fontId="1" numFmtId="10" xfId="0" applyFont="1" applyNumberFormat="1"/>
    <xf borderId="0" fillId="0" fontId="1" numFmtId="0" xfId="0" applyAlignment="1" applyFont="1">
      <alignment readingOrder="0" shrinkToFit="0" wrapText="1"/>
    </xf>
    <xf borderId="0" fillId="0" fontId="1" numFmtId="0" xfId="0" applyAlignment="1" applyFont="1">
      <alignment horizontal="left" readingOrder="0" shrinkToFit="0" wrapText="1"/>
    </xf>
    <xf borderId="0" fillId="6" fontId="1" numFmtId="0" xfId="0" applyAlignment="1" applyFont="1">
      <alignment readingOrder="0" shrinkToFit="0" wrapText="1"/>
    </xf>
    <xf borderId="0" fillId="3" fontId="1" numFmtId="0" xfId="0" applyAlignment="1" applyFont="1">
      <alignment readingOrder="0" shrinkToFit="0" wrapText="1"/>
    </xf>
    <xf borderId="0" fillId="7" fontId="1" numFmtId="0" xfId="0" applyAlignment="1" applyFill="1" applyFont="1">
      <alignment readingOrder="0" shrinkToFit="0" wrapText="1"/>
    </xf>
    <xf borderId="0" fillId="0" fontId="1" numFmtId="0" xfId="0" applyAlignment="1" applyFont="1">
      <alignment readingOrder="0" shrinkToFit="0" wrapText="0"/>
    </xf>
    <xf borderId="0" fillId="8" fontId="1" numFmtId="0" xfId="0" applyAlignment="1" applyFill="1" applyFont="1">
      <alignment readingOrder="0" shrinkToFit="0" wrapText="0"/>
    </xf>
    <xf borderId="0" fillId="9" fontId="1" numFmtId="0" xfId="0" applyAlignment="1" applyFill="1" applyFont="1">
      <alignment readingOrder="0" shrinkToFit="0" wrapText="1"/>
    </xf>
    <xf borderId="0" fillId="0" fontId="1" numFmtId="10" xfId="0" applyAlignment="1" applyFont="1" applyNumberFormat="1">
      <alignment shrinkToFit="0" wrapText="1"/>
    </xf>
    <xf borderId="0" fillId="10" fontId="2" numFmtId="0" xfId="0" applyAlignment="1" applyFill="1" applyFont="1">
      <alignment horizontal="left" readingOrder="0" shrinkToFit="0" wrapText="0"/>
    </xf>
    <xf borderId="0" fillId="0" fontId="1" numFmtId="0" xfId="0" applyAlignment="1" applyFont="1">
      <alignment readingOrder="0" shrinkToFit="0" wrapText="0"/>
    </xf>
    <xf borderId="0" fillId="6" fontId="1" numFmtId="0" xfId="0" applyAlignment="1" applyFont="1">
      <alignment readingOrder="0"/>
    </xf>
    <xf borderId="0" fillId="0" fontId="1" numFmtId="0" xfId="0" applyAlignment="1" applyFont="1">
      <alignment shrinkToFit="0" wrapText="0"/>
    </xf>
    <xf borderId="0" fillId="11" fontId="1" numFmtId="0" xfId="0" applyAlignment="1" applyFill="1" applyFont="1">
      <alignment readingOrder="0" shrinkToFit="0" wrapText="0"/>
    </xf>
    <xf borderId="0" fillId="12" fontId="1" numFmtId="0" xfId="0" applyAlignment="1" applyFill="1" applyFont="1">
      <alignment readingOrder="0" shrinkToFit="0" wrapText="0"/>
    </xf>
    <xf borderId="0" fillId="3" fontId="1" numFmtId="0" xfId="0" applyAlignment="1" applyFont="1">
      <alignment readingOrder="0" shrinkToFit="0" wrapText="0"/>
    </xf>
    <xf borderId="0" fillId="13" fontId="1" numFmtId="0" xfId="0" applyAlignment="1" applyFill="1" applyFont="1">
      <alignment readingOrder="0" shrinkToFit="0" wrapText="0"/>
    </xf>
    <xf borderId="0" fillId="0" fontId="2" numFmtId="0" xfId="0" applyAlignment="1" applyFont="1">
      <alignment horizontal="left" readingOrder="0" shrinkToFit="0" wrapText="0"/>
    </xf>
    <xf borderId="0" fillId="0" fontId="2" numFmtId="0" xfId="0" applyAlignment="1" applyFont="1">
      <alignment horizontal="left" readingOrder="0" shrinkToFit="0" wrapText="0"/>
    </xf>
    <xf borderId="0" fillId="0" fontId="1" numFmtId="0" xfId="0" applyAlignment="1" applyFont="1">
      <alignment shrinkToFit="0" wrapText="1"/>
    </xf>
    <xf borderId="0" fillId="0" fontId="1" numFmtId="0" xfId="0" applyAlignment="1" applyFont="1">
      <alignment shrinkToFit="0" wrapText="1"/>
    </xf>
    <xf borderId="0" fillId="0" fontId="1" numFmtId="0" xfId="0" applyFont="1"/>
    <xf borderId="0" fillId="0" fontId="1" numFmtId="0" xfId="0" applyFont="1"/>
    <xf borderId="0" fillId="7" fontId="1" numFmtId="0" xfId="0" applyFont="1"/>
    <xf borderId="0" fillId="7" fontId="1" numFmtId="0" xfId="0" applyAlignment="1" applyFont="1">
      <alignment readingOrder="0" shrinkToFit="0" wrapText="0"/>
    </xf>
    <xf borderId="0" fillId="7" fontId="2" numFmtId="0" xfId="0" applyAlignment="1" applyFont="1">
      <alignment horizontal="left" readingOrder="0" shrinkToFit="0" wrapText="0"/>
    </xf>
    <xf borderId="0" fillId="10" fontId="1" numFmtId="0" xfId="0" applyFont="1"/>
    <xf borderId="0" fillId="0" fontId="1" numFmtId="0" xfId="0" applyAlignment="1" applyFont="1">
      <alignment readingOrder="0"/>
    </xf>
    <xf borderId="0" fillId="0" fontId="3" numFmtId="0" xfId="0" applyAlignment="1" applyFont="1">
      <alignment readingOrder="0" shrinkToFit="0" wrapText="0"/>
    </xf>
    <xf borderId="0" fillId="3" fontId="1" numFmtId="0" xfId="0" applyAlignment="1" applyFont="1">
      <alignment horizontal="left" readingOrder="0" shrinkToFit="0" wrapText="1"/>
    </xf>
    <xf borderId="0" fillId="0" fontId="1" numFmtId="0" xfId="0" applyAlignment="1" applyFont="1">
      <alignment shrinkToFit="0" wrapText="0"/>
    </xf>
    <xf borderId="0" fillId="8" fontId="1" numFmtId="0" xfId="0" applyAlignment="1" applyFont="1">
      <alignment shrinkToFit="0" wrapText="0"/>
    </xf>
    <xf borderId="0" fillId="8" fontId="1" numFmtId="0" xfId="0" applyAlignment="1" applyFont="1">
      <alignment readingOrder="0" shrinkToFit="0" wrapText="0"/>
    </xf>
    <xf borderId="0" fillId="10" fontId="2" numFmtId="0" xfId="0" applyAlignment="1" applyFont="1">
      <alignment horizontal="left" readingOrder="0" shrinkToFit="0" wrapText="0"/>
    </xf>
  </cellXfs>
  <cellStyles count="1">
    <cellStyle xfId="0" name="Normal" builtinId="0"/>
  </cellStyles>
  <dxfs count="6">
    <dxf>
      <font/>
      <fill>
        <patternFill patternType="solid">
          <fgColor rgb="FFB6D7A8"/>
          <bgColor rgb="FFB6D7A8"/>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2">
    <tableStyle count="3" pivot="0" name="Fitchburg-style">
      <tableStyleElement dxfId="2" type="headerRow"/>
      <tableStyleElement dxfId="3" type="firstRowStripe"/>
      <tableStyleElement dxfId="4" type="secondRowStripe"/>
    </tableStyle>
    <tableStyle count="3" pivot="0" name="Framingham-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I19" displayName="Table_1" name="Table_1" id="1">
  <tableColumns count="1">
    <tableColumn name="Column1" id="1"/>
  </tableColumns>
  <tableStyleInfo name="Fitchburg-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I19" displayName="Table_2" name="Table_2" id="2">
  <tableColumns count="1">
    <tableColumn name="Column1" id="1"/>
  </tableColumns>
  <tableStyleInfo name="Framingham-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tes.collegesource.com/publicview/TES_publicview01.aspx?rid=ce2341e2-fb67-4e2c-aace-b76202fad4d6&amp;aid=ac739ed7-064c-4a58-98ad-39af492aa16c" TargetMode="External"/><Relationship Id="rId3" Type="http://schemas.openxmlformats.org/officeDocument/2006/relationships/drawing" Target="../drawings/drawing6.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1">
      <c r="B1" s="1" t="s">
        <v>0</v>
      </c>
    </row>
    <row r="2">
      <c r="B2" s="2" t="s">
        <v>1</v>
      </c>
      <c r="C2" s="3" t="s">
        <v>2</v>
      </c>
      <c r="D2" s="4" t="s">
        <v>3</v>
      </c>
      <c r="E2" s="5" t="s">
        <v>4</v>
      </c>
      <c r="F2" s="6" t="s">
        <v>1</v>
      </c>
      <c r="G2" s="7" t="s">
        <v>2</v>
      </c>
      <c r="H2" s="8" t="s">
        <v>3</v>
      </c>
      <c r="I2" s="9" t="s">
        <v>4</v>
      </c>
    </row>
    <row r="3">
      <c r="A3" s="10" t="s">
        <v>5</v>
      </c>
      <c r="B3" s="2">
        <v>60.0</v>
      </c>
      <c r="C3" s="3">
        <v>75.0</v>
      </c>
      <c r="D3" s="4">
        <v>30.0</v>
      </c>
      <c r="E3" s="5"/>
      <c r="F3" s="11">
        <f t="shared" ref="F3:H3" si="1">B4/B3</f>
        <v>0.7166666667</v>
      </c>
      <c r="G3" s="11">
        <f t="shared" si="1"/>
        <v>0.6533333333</v>
      </c>
      <c r="H3" s="11">
        <f t="shared" si="1"/>
        <v>1</v>
      </c>
      <c r="I3" s="11"/>
    </row>
    <row r="4">
      <c r="A4" s="10" t="s">
        <v>6</v>
      </c>
      <c r="B4" s="2">
        <v>43.0</v>
      </c>
      <c r="C4" s="3">
        <v>49.0</v>
      </c>
      <c r="D4" s="4">
        <v>30.0</v>
      </c>
      <c r="E4" s="5"/>
      <c r="F4" s="11"/>
      <c r="G4" s="11"/>
      <c r="H4" s="11"/>
      <c r="I4" s="11"/>
    </row>
    <row r="5">
      <c r="A5" s="10" t="s">
        <v>7</v>
      </c>
      <c r="B5" s="2">
        <v>90.0</v>
      </c>
      <c r="C5" s="3">
        <v>75.0</v>
      </c>
      <c r="D5" s="4">
        <v>30.0</v>
      </c>
      <c r="E5" s="5"/>
      <c r="F5" s="11">
        <f t="shared" ref="F5:H5" si="2">B6/B5</f>
        <v>0.8777777778</v>
      </c>
      <c r="G5" s="11">
        <f t="shared" si="2"/>
        <v>0.96</v>
      </c>
      <c r="H5" s="11">
        <f t="shared" si="2"/>
        <v>1</v>
      </c>
      <c r="I5" s="11"/>
    </row>
    <row r="6">
      <c r="A6" s="10" t="s">
        <v>8</v>
      </c>
      <c r="B6" s="2">
        <v>79.0</v>
      </c>
      <c r="C6" s="3">
        <v>72.0</v>
      </c>
      <c r="D6" s="4">
        <v>30.0</v>
      </c>
      <c r="E6" s="5"/>
      <c r="F6" s="11"/>
      <c r="G6" s="11"/>
      <c r="H6" s="11"/>
      <c r="I6" s="11"/>
    </row>
    <row r="7">
      <c r="A7" s="10" t="s">
        <v>9</v>
      </c>
      <c r="B7" s="2">
        <v>75.0</v>
      </c>
      <c r="C7" s="3">
        <v>30.0</v>
      </c>
      <c r="D7" s="4">
        <v>15.0</v>
      </c>
      <c r="E7" s="5"/>
      <c r="F7" s="11">
        <f t="shared" ref="F7:H7" si="3">B8/B7</f>
        <v>0.1466666667</v>
      </c>
      <c r="G7" s="11">
        <f t="shared" si="3"/>
        <v>0.1666666667</v>
      </c>
      <c r="H7" s="11">
        <f t="shared" si="3"/>
        <v>1</v>
      </c>
      <c r="I7" s="11"/>
    </row>
    <row r="8">
      <c r="A8" s="10" t="s">
        <v>10</v>
      </c>
      <c r="B8" s="2">
        <v>11.0</v>
      </c>
      <c r="C8" s="3">
        <v>5.0</v>
      </c>
      <c r="D8" s="4">
        <v>15.0</v>
      </c>
      <c r="E8" s="5"/>
      <c r="F8" s="11"/>
      <c r="G8" s="11"/>
      <c r="H8" s="11"/>
      <c r="I8" s="11"/>
    </row>
    <row r="9">
      <c r="A9" s="10" t="s">
        <v>11</v>
      </c>
      <c r="B9" s="2">
        <v>150.0</v>
      </c>
      <c r="C9" s="3">
        <v>15.0</v>
      </c>
      <c r="D9" s="4">
        <v>15.0</v>
      </c>
      <c r="E9" s="5">
        <v>15.0</v>
      </c>
      <c r="F9" s="11">
        <f t="shared" ref="F9:I9" si="4">B10/B9</f>
        <v>0.1866666667</v>
      </c>
      <c r="G9" s="11">
        <f t="shared" si="4"/>
        <v>0.4</v>
      </c>
      <c r="H9" s="11">
        <f t="shared" si="4"/>
        <v>0.9333333333</v>
      </c>
      <c r="I9" s="11">
        <f t="shared" si="4"/>
        <v>0.6666666667</v>
      </c>
    </row>
    <row r="10">
      <c r="A10" s="10" t="s">
        <v>12</v>
      </c>
      <c r="B10" s="2">
        <v>28.0</v>
      </c>
      <c r="C10" s="3">
        <v>6.0</v>
      </c>
      <c r="D10" s="4">
        <v>14.0</v>
      </c>
      <c r="E10" s="5">
        <v>10.0</v>
      </c>
      <c r="F10" s="11"/>
      <c r="G10" s="11"/>
      <c r="H10" s="11"/>
      <c r="I10" s="11"/>
    </row>
    <row r="11">
      <c r="A11" s="10" t="s">
        <v>13</v>
      </c>
      <c r="B11" s="2">
        <v>135.0</v>
      </c>
      <c r="C11" s="3">
        <v>60.0</v>
      </c>
      <c r="D11" s="4">
        <v>60.0</v>
      </c>
      <c r="E11" s="5"/>
      <c r="F11" s="11">
        <f t="shared" ref="F11:H11" si="5">B12/B11</f>
        <v>0.2962962963</v>
      </c>
      <c r="G11" s="11">
        <f t="shared" si="5"/>
        <v>0.8166666667</v>
      </c>
      <c r="H11" s="11">
        <f t="shared" si="5"/>
        <v>1</v>
      </c>
      <c r="I11" s="11"/>
    </row>
    <row r="12">
      <c r="A12" s="10" t="s">
        <v>14</v>
      </c>
      <c r="B12" s="2">
        <v>40.0</v>
      </c>
      <c r="C12" s="3">
        <v>49.0</v>
      </c>
      <c r="D12" s="4">
        <v>60.0</v>
      </c>
      <c r="E12" s="5"/>
      <c r="F12" s="11"/>
      <c r="G12" s="11"/>
      <c r="H12" s="11"/>
      <c r="I12" s="11"/>
    </row>
    <row r="13">
      <c r="A13" s="10" t="s">
        <v>15</v>
      </c>
      <c r="B13" s="2">
        <v>120.0</v>
      </c>
      <c r="C13" s="3">
        <v>60.0</v>
      </c>
      <c r="D13" s="4">
        <v>30.0</v>
      </c>
      <c r="E13" s="5"/>
      <c r="F13" s="11">
        <f t="shared" ref="F13:H13" si="6">B14/B13</f>
        <v>0.4</v>
      </c>
      <c r="G13" s="11">
        <f t="shared" si="6"/>
        <v>0.9833333333</v>
      </c>
      <c r="H13" s="11">
        <f t="shared" si="6"/>
        <v>1</v>
      </c>
      <c r="I13" s="11"/>
    </row>
    <row r="14">
      <c r="A14" s="10" t="s">
        <v>16</v>
      </c>
      <c r="B14" s="2">
        <v>48.0</v>
      </c>
      <c r="C14" s="3">
        <v>59.0</v>
      </c>
      <c r="D14" s="4">
        <v>30.0</v>
      </c>
      <c r="E14" s="5"/>
      <c r="F14" s="11"/>
      <c r="G14" s="11"/>
      <c r="H14" s="11"/>
      <c r="I14" s="11"/>
    </row>
    <row r="15">
      <c r="A15" s="10" t="s">
        <v>17</v>
      </c>
      <c r="B15" s="2">
        <v>75.0</v>
      </c>
      <c r="C15" s="3">
        <v>45.0</v>
      </c>
      <c r="D15" s="4">
        <v>30.0</v>
      </c>
      <c r="E15" s="5"/>
      <c r="F15" s="11">
        <f t="shared" ref="F15:H15" si="7">B16/B15</f>
        <v>0.32</v>
      </c>
      <c r="G15" s="11">
        <f t="shared" si="7"/>
        <v>0.6666666667</v>
      </c>
      <c r="H15" s="11">
        <f t="shared" si="7"/>
        <v>0.5333333333</v>
      </c>
      <c r="I15" s="11"/>
    </row>
    <row r="16">
      <c r="A16" s="10" t="s">
        <v>18</v>
      </c>
      <c r="B16" s="2">
        <v>24.0</v>
      </c>
      <c r="C16" s="3">
        <v>30.0</v>
      </c>
      <c r="D16" s="4">
        <v>16.0</v>
      </c>
      <c r="E16" s="5"/>
      <c r="F16" s="11"/>
      <c r="G16" s="11"/>
      <c r="H16" s="11"/>
      <c r="I16" s="11"/>
    </row>
    <row r="17">
      <c r="A17" s="10" t="s">
        <v>19</v>
      </c>
      <c r="B17" s="2">
        <v>90.0</v>
      </c>
      <c r="C17" s="3">
        <v>75.0</v>
      </c>
      <c r="D17" s="4">
        <v>60.0</v>
      </c>
      <c r="E17" s="5">
        <v>15.0</v>
      </c>
      <c r="F17" s="11">
        <f t="shared" ref="F17:I17" si="8">B18/B17</f>
        <v>0.6555555556</v>
      </c>
      <c r="G17" s="11">
        <f t="shared" si="8"/>
        <v>0.52</v>
      </c>
      <c r="H17" s="11">
        <f t="shared" si="8"/>
        <v>0.7833333333</v>
      </c>
      <c r="I17" s="11">
        <f t="shared" si="8"/>
        <v>1</v>
      </c>
    </row>
    <row r="18">
      <c r="A18" s="10" t="s">
        <v>20</v>
      </c>
      <c r="B18" s="2">
        <v>59.0</v>
      </c>
      <c r="C18" s="3">
        <v>39.0</v>
      </c>
      <c r="D18" s="4">
        <v>47.0</v>
      </c>
      <c r="E18" s="5">
        <v>15.0</v>
      </c>
      <c r="F18" s="11"/>
      <c r="G18" s="11"/>
      <c r="H18" s="11"/>
      <c r="I18" s="11"/>
    </row>
    <row r="19">
      <c r="A19" s="10" t="s">
        <v>21</v>
      </c>
      <c r="B19" s="2">
        <v>90.0</v>
      </c>
      <c r="C19" s="3">
        <v>45.0</v>
      </c>
      <c r="D19" s="4">
        <v>90.0</v>
      </c>
      <c r="E19" s="5">
        <v>45.0</v>
      </c>
      <c r="F19" s="11">
        <f t="shared" ref="F19:I19" si="9">B20/B19</f>
        <v>0.6111111111</v>
      </c>
      <c r="G19" s="11">
        <f t="shared" si="9"/>
        <v>0.8666666667</v>
      </c>
      <c r="H19" s="11">
        <f t="shared" si="9"/>
        <v>0.9666666667</v>
      </c>
      <c r="I19" s="11">
        <f t="shared" si="9"/>
        <v>1</v>
      </c>
    </row>
    <row r="20">
      <c r="A20" s="10" t="s">
        <v>22</v>
      </c>
      <c r="B20" s="2">
        <v>55.0</v>
      </c>
      <c r="C20" s="3">
        <v>39.0</v>
      </c>
      <c r="D20" s="4">
        <v>87.0</v>
      </c>
      <c r="E20" s="5">
        <v>45.0</v>
      </c>
      <c r="F20" s="11"/>
      <c r="G20" s="11"/>
      <c r="H20" s="11"/>
      <c r="I20" s="11"/>
    </row>
    <row r="21">
      <c r="A21" s="10" t="s">
        <v>23</v>
      </c>
      <c r="B21" s="2">
        <v>120.0</v>
      </c>
      <c r="C21" s="3">
        <v>45.0</v>
      </c>
      <c r="D21" s="4">
        <v>30.0</v>
      </c>
      <c r="E21" s="5">
        <v>15.0</v>
      </c>
      <c r="F21" s="11">
        <f t="shared" ref="F21:I21" si="10">B22/B21</f>
        <v>0.1583333333</v>
      </c>
      <c r="G21" s="11">
        <f t="shared" si="10"/>
        <v>0.8444444444</v>
      </c>
      <c r="H21" s="11">
        <f t="shared" si="10"/>
        <v>1</v>
      </c>
      <c r="I21" s="11">
        <f t="shared" si="10"/>
        <v>1</v>
      </c>
    </row>
    <row r="22">
      <c r="A22" s="10" t="s">
        <v>24</v>
      </c>
      <c r="B22" s="2">
        <v>19.0</v>
      </c>
      <c r="C22" s="3">
        <v>38.0</v>
      </c>
      <c r="D22" s="4">
        <v>30.0</v>
      </c>
      <c r="E22" s="5">
        <v>15.0</v>
      </c>
      <c r="F22" s="11"/>
      <c r="G22" s="11"/>
      <c r="H22" s="11"/>
      <c r="I22" s="11"/>
    </row>
    <row r="23">
      <c r="A23" s="10" t="s">
        <v>25</v>
      </c>
      <c r="B23" s="2">
        <v>150.0</v>
      </c>
      <c r="C23" s="3">
        <v>30.0</v>
      </c>
      <c r="D23" s="4">
        <v>45.0</v>
      </c>
      <c r="E23" s="5">
        <v>45.0</v>
      </c>
      <c r="F23" s="11">
        <f t="shared" ref="F23:I23" si="11">B24/B23</f>
        <v>0.2466666667</v>
      </c>
      <c r="G23" s="11">
        <f t="shared" si="11"/>
        <v>1</v>
      </c>
      <c r="H23" s="11">
        <f t="shared" si="11"/>
        <v>1</v>
      </c>
      <c r="I23" s="11">
        <f t="shared" si="11"/>
        <v>0.4666666667</v>
      </c>
    </row>
    <row r="24">
      <c r="A24" s="10" t="s">
        <v>26</v>
      </c>
      <c r="B24" s="2">
        <v>37.0</v>
      </c>
      <c r="C24" s="3">
        <v>30.0</v>
      </c>
      <c r="D24" s="4">
        <v>45.0</v>
      </c>
      <c r="E24" s="5">
        <v>21.0</v>
      </c>
      <c r="F24" s="12"/>
      <c r="G24" s="12"/>
      <c r="H24" s="12"/>
      <c r="I24" s="12"/>
    </row>
    <row r="25">
      <c r="A25" s="10" t="s">
        <v>27</v>
      </c>
      <c r="B25" s="13"/>
      <c r="C25" s="14"/>
      <c r="D25" s="15"/>
      <c r="E25" s="16"/>
      <c r="F25" s="17">
        <f t="shared" ref="F25:I25" si="12">AVERAGE(F3:F24)</f>
        <v>0.4196127946</v>
      </c>
      <c r="G25" s="18">
        <f t="shared" si="12"/>
        <v>0.7161616162</v>
      </c>
      <c r="H25" s="19">
        <f t="shared" si="12"/>
        <v>0.9287878788</v>
      </c>
      <c r="I25" s="20">
        <f t="shared" si="12"/>
        <v>0.8266666667</v>
      </c>
    </row>
    <row r="32">
      <c r="B32" s="1" t="s">
        <v>28</v>
      </c>
    </row>
    <row r="33">
      <c r="B33" s="2" t="s">
        <v>1</v>
      </c>
      <c r="C33" s="3" t="s">
        <v>2</v>
      </c>
      <c r="D33" s="4" t="s">
        <v>3</v>
      </c>
      <c r="E33" s="5" t="s">
        <v>4</v>
      </c>
    </row>
    <row r="34">
      <c r="A34" s="10" t="s">
        <v>5</v>
      </c>
      <c r="B34" s="2">
        <v>165.0</v>
      </c>
      <c r="C34" s="3">
        <v>0.0</v>
      </c>
      <c r="D34" s="4"/>
      <c r="E34" s="5"/>
    </row>
    <row r="35">
      <c r="A35" s="10" t="s">
        <v>6</v>
      </c>
      <c r="B35" s="2">
        <v>25.0</v>
      </c>
      <c r="C35" s="3">
        <v>0.0</v>
      </c>
      <c r="D35" s="4"/>
      <c r="E35" s="5"/>
    </row>
    <row r="36">
      <c r="A36" s="10" t="s">
        <v>7</v>
      </c>
      <c r="B36" s="2">
        <v>165.0</v>
      </c>
      <c r="C36" s="3">
        <v>0.0</v>
      </c>
      <c r="D36" s="4"/>
      <c r="E36" s="5"/>
    </row>
    <row r="37">
      <c r="A37" s="10" t="s">
        <v>8</v>
      </c>
      <c r="B37" s="2">
        <v>75.0</v>
      </c>
      <c r="C37" s="3">
        <v>0.0</v>
      </c>
      <c r="D37" s="4"/>
      <c r="E37" s="5"/>
    </row>
    <row r="38">
      <c r="A38" s="10" t="s">
        <v>11</v>
      </c>
      <c r="B38" s="2">
        <v>180.0</v>
      </c>
      <c r="C38" s="3">
        <v>0.0</v>
      </c>
      <c r="D38" s="4"/>
      <c r="E38" s="5"/>
    </row>
    <row r="39">
      <c r="A39" s="10" t="s">
        <v>12</v>
      </c>
      <c r="B39" s="2">
        <v>8.0</v>
      </c>
      <c r="C39" s="3">
        <v>0.0</v>
      </c>
      <c r="D39" s="4"/>
      <c r="E39" s="5"/>
    </row>
    <row r="40">
      <c r="A40" s="10" t="s">
        <v>13</v>
      </c>
      <c r="B40" s="2">
        <v>90.0</v>
      </c>
      <c r="C40" s="3">
        <v>15.0</v>
      </c>
      <c r="D40" s="4"/>
      <c r="E40" s="5"/>
    </row>
    <row r="41">
      <c r="A41" s="10" t="s">
        <v>14</v>
      </c>
      <c r="B41" s="2">
        <v>5.0</v>
      </c>
      <c r="C41" s="3">
        <v>13.0</v>
      </c>
      <c r="D41" s="4"/>
      <c r="E41" s="5"/>
    </row>
    <row r="42">
      <c r="A42" s="10" t="s">
        <v>15</v>
      </c>
      <c r="B42" s="2">
        <v>120.0</v>
      </c>
      <c r="C42" s="3">
        <v>0.0</v>
      </c>
      <c r="D42" s="4"/>
      <c r="E42" s="5"/>
    </row>
    <row r="43">
      <c r="A43" s="10" t="s">
        <v>16</v>
      </c>
      <c r="B43" s="2">
        <v>22.0</v>
      </c>
      <c r="C43" s="3">
        <v>0.0</v>
      </c>
      <c r="D43" s="4"/>
      <c r="E43" s="5"/>
    </row>
    <row r="44">
      <c r="A44" s="10" t="s">
        <v>17</v>
      </c>
      <c r="B44" s="2">
        <v>150.0</v>
      </c>
      <c r="C44" s="3">
        <v>15.0</v>
      </c>
      <c r="D44" s="4"/>
      <c r="E44" s="5"/>
    </row>
    <row r="45">
      <c r="A45" s="10" t="s">
        <v>18</v>
      </c>
      <c r="B45" s="2">
        <v>0.0</v>
      </c>
      <c r="C45" s="3">
        <v>0.0</v>
      </c>
      <c r="D45" s="4"/>
      <c r="E45" s="5"/>
    </row>
    <row r="46">
      <c r="A46" s="10" t="s">
        <v>19</v>
      </c>
      <c r="B46" s="2">
        <v>225.0</v>
      </c>
      <c r="C46" s="3">
        <v>0.0</v>
      </c>
      <c r="D46" s="4"/>
      <c r="E46" s="5"/>
    </row>
    <row r="47">
      <c r="A47" s="10" t="s">
        <v>20</v>
      </c>
      <c r="B47" s="2">
        <v>9.0</v>
      </c>
      <c r="C47" s="3">
        <v>0.0</v>
      </c>
      <c r="D47" s="4"/>
      <c r="E47" s="5"/>
    </row>
    <row r="48">
      <c r="A48" s="10" t="s">
        <v>21</v>
      </c>
      <c r="B48" s="2">
        <v>105.0</v>
      </c>
      <c r="C48" s="3">
        <v>30.0</v>
      </c>
      <c r="D48" s="4"/>
      <c r="E48" s="5"/>
    </row>
    <row r="49">
      <c r="A49" s="10" t="s">
        <v>22</v>
      </c>
      <c r="B49" s="2">
        <v>1.0</v>
      </c>
      <c r="C49" s="3">
        <v>0.0</v>
      </c>
      <c r="D49" s="4"/>
      <c r="E49" s="5"/>
    </row>
    <row r="50">
      <c r="A50" s="10" t="s">
        <v>23</v>
      </c>
      <c r="B50" s="2">
        <v>150.0</v>
      </c>
      <c r="C50" s="3">
        <v>30.0</v>
      </c>
      <c r="D50" s="4"/>
      <c r="E50" s="5"/>
    </row>
    <row r="51">
      <c r="A51" s="10" t="s">
        <v>24</v>
      </c>
      <c r="B51" s="2">
        <v>10.0</v>
      </c>
      <c r="C51" s="3">
        <v>2.0</v>
      </c>
      <c r="D51" s="4"/>
      <c r="E51" s="5"/>
    </row>
    <row r="52">
      <c r="A52" s="10" t="s">
        <v>25</v>
      </c>
      <c r="B52" s="2">
        <v>90.0</v>
      </c>
      <c r="C52" s="3">
        <v>15.0</v>
      </c>
      <c r="D52" s="4"/>
      <c r="E52" s="5"/>
    </row>
    <row r="53">
      <c r="A53" s="10" t="s">
        <v>26</v>
      </c>
      <c r="B53" s="2">
        <v>4.0</v>
      </c>
      <c r="C53" s="3">
        <v>14.0</v>
      </c>
      <c r="D53" s="4"/>
      <c r="E53" s="5"/>
    </row>
    <row r="54">
      <c r="B54" s="2"/>
      <c r="C54" s="3"/>
      <c r="D54" s="4"/>
      <c r="E54" s="5"/>
    </row>
    <row r="55">
      <c r="B55" s="2"/>
      <c r="C55" s="3"/>
      <c r="D55" s="4"/>
      <c r="E55" s="5"/>
    </row>
    <row r="56">
      <c r="B56" s="2"/>
      <c r="C56" s="3"/>
      <c r="D56" s="4"/>
      <c r="E56" s="5"/>
    </row>
    <row r="57">
      <c r="B57" s="2"/>
      <c r="C57" s="3"/>
      <c r="D57" s="4"/>
      <c r="E57" s="5"/>
    </row>
    <row r="58">
      <c r="B58" s="2"/>
      <c r="C58" s="3"/>
      <c r="D58" s="4"/>
      <c r="E58" s="5"/>
    </row>
  </sheetData>
  <mergeCells count="2">
    <mergeCell ref="B1:E1"/>
    <mergeCell ref="B32:E3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7.13"/>
    <col customWidth="1" min="3" max="4" width="7.38"/>
    <col customWidth="1" min="5" max="6" width="16.13"/>
  </cols>
  <sheetData>
    <row r="1">
      <c r="B1" s="10" t="s">
        <v>29</v>
      </c>
      <c r="C1" s="10" t="s">
        <v>30</v>
      </c>
      <c r="D1" s="21" t="s">
        <v>31</v>
      </c>
      <c r="E1" s="21" t="s">
        <v>32</v>
      </c>
      <c r="F1" s="21" t="s">
        <v>33</v>
      </c>
      <c r="G1" s="21" t="s">
        <v>34</v>
      </c>
      <c r="H1" s="21" t="s">
        <v>35</v>
      </c>
      <c r="I1" s="21" t="s">
        <v>36</v>
      </c>
      <c r="J1" s="21" t="s">
        <v>37</v>
      </c>
      <c r="K1" s="21" t="s">
        <v>38</v>
      </c>
      <c r="L1" s="22" t="s">
        <v>39</v>
      </c>
      <c r="M1" s="21" t="s">
        <v>40</v>
      </c>
      <c r="N1" s="23" t="s">
        <v>41</v>
      </c>
      <c r="O1" s="23" t="s">
        <v>41</v>
      </c>
      <c r="P1" s="24" t="s">
        <v>42</v>
      </c>
      <c r="Q1" s="24" t="s">
        <v>43</v>
      </c>
      <c r="R1" s="24" t="s">
        <v>44</v>
      </c>
      <c r="S1" s="24" t="s">
        <v>45</v>
      </c>
      <c r="T1" s="24" t="s">
        <v>46</v>
      </c>
      <c r="U1" s="24" t="s">
        <v>47</v>
      </c>
      <c r="V1" s="25" t="s">
        <v>48</v>
      </c>
      <c r="W1" s="25" t="s">
        <v>48</v>
      </c>
      <c r="X1" s="25" t="s">
        <v>48</v>
      </c>
      <c r="Y1" s="25" t="s">
        <v>48</v>
      </c>
      <c r="Z1" s="25" t="s">
        <v>48</v>
      </c>
    </row>
    <row r="2">
      <c r="A2" s="26" t="s">
        <v>49</v>
      </c>
      <c r="B2" s="12">
        <f t="shared" ref="B2:B16" si="1">COUNTIF(E2:O2, TRUE) / COUNTA(E2:O2)</f>
        <v>0.5454545455</v>
      </c>
      <c r="C2" s="12">
        <f t="shared" ref="C2:C16" si="2">COUNTIF(E2:Z2, TRUE) / COUNTA(E2:Z2)</f>
        <v>0.2727272727</v>
      </c>
      <c r="D2" s="21"/>
      <c r="E2" s="21" t="b">
        <v>1</v>
      </c>
      <c r="F2" s="21" t="b">
        <v>1</v>
      </c>
      <c r="G2" s="21" t="b">
        <v>0</v>
      </c>
      <c r="H2" s="21" t="b">
        <v>1</v>
      </c>
      <c r="I2" s="21" t="b">
        <v>0</v>
      </c>
      <c r="J2" s="21" t="b">
        <v>0</v>
      </c>
      <c r="K2" s="21" t="b">
        <v>1</v>
      </c>
      <c r="L2" s="21" t="b">
        <v>0</v>
      </c>
      <c r="M2" s="21" t="b">
        <v>0</v>
      </c>
      <c r="N2" s="21" t="b">
        <v>1</v>
      </c>
      <c r="O2" s="21" t="b">
        <v>1</v>
      </c>
      <c r="P2" s="21" t="b">
        <v>0</v>
      </c>
      <c r="Q2" s="21" t="b">
        <v>0</v>
      </c>
      <c r="R2" s="21" t="b">
        <v>0</v>
      </c>
      <c r="S2" s="21" t="b">
        <v>0</v>
      </c>
      <c r="T2" s="21" t="b">
        <v>0</v>
      </c>
      <c r="U2" s="21" t="b">
        <v>0</v>
      </c>
      <c r="V2" s="21" t="b">
        <v>0</v>
      </c>
      <c r="W2" s="21" t="b">
        <v>0</v>
      </c>
      <c r="X2" s="21" t="b">
        <v>0</v>
      </c>
      <c r="Y2" s="21" t="b">
        <v>0</v>
      </c>
      <c r="Z2" s="21" t="b">
        <v>0</v>
      </c>
    </row>
    <row r="3">
      <c r="A3" s="27" t="s">
        <v>50</v>
      </c>
      <c r="B3" s="12">
        <f t="shared" si="1"/>
        <v>0.9090909091</v>
      </c>
      <c r="C3" s="12">
        <f t="shared" si="2"/>
        <v>0.5454545455</v>
      </c>
      <c r="D3" s="21" t="s">
        <v>31</v>
      </c>
      <c r="E3" s="21" t="b">
        <v>1</v>
      </c>
      <c r="F3" s="21" t="b">
        <v>1</v>
      </c>
      <c r="G3" s="21" t="b">
        <v>1</v>
      </c>
      <c r="H3" s="21" t="b">
        <v>1</v>
      </c>
      <c r="I3" s="21" t="b">
        <v>1</v>
      </c>
      <c r="J3" s="21" t="b">
        <v>1</v>
      </c>
      <c r="K3" s="21" t="b">
        <v>1</v>
      </c>
      <c r="L3" s="21" t="b">
        <v>1</v>
      </c>
      <c r="M3" s="21" t="b">
        <v>0</v>
      </c>
      <c r="N3" s="21" t="b">
        <v>1</v>
      </c>
      <c r="O3" s="21" t="b">
        <v>1</v>
      </c>
      <c r="P3" s="28" t="b">
        <v>1</v>
      </c>
      <c r="Q3" s="28" t="b">
        <v>1</v>
      </c>
      <c r="R3" s="21" t="b">
        <v>0</v>
      </c>
      <c r="S3" s="28" t="b">
        <v>0</v>
      </c>
      <c r="T3" s="28" t="b">
        <v>0</v>
      </c>
      <c r="U3" s="28" t="b">
        <v>0</v>
      </c>
      <c r="V3" s="21" t="b">
        <v>0</v>
      </c>
      <c r="W3" s="21" t="b">
        <v>0</v>
      </c>
      <c r="X3" s="21" t="b">
        <v>0</v>
      </c>
      <c r="Y3" s="21" t="b">
        <v>0</v>
      </c>
      <c r="Z3" s="21" t="b">
        <v>0</v>
      </c>
    </row>
    <row r="4">
      <c r="A4" s="26" t="s">
        <v>51</v>
      </c>
      <c r="B4" s="12">
        <f t="shared" si="1"/>
        <v>0.3636363636</v>
      </c>
      <c r="C4" s="12">
        <f t="shared" si="2"/>
        <v>0.1818181818</v>
      </c>
      <c r="D4" s="29"/>
      <c r="E4" s="21" t="b">
        <v>0</v>
      </c>
      <c r="F4" s="21" t="b">
        <v>0</v>
      </c>
      <c r="G4" s="21" t="b">
        <v>0</v>
      </c>
      <c r="H4" s="21" t="b">
        <v>0</v>
      </c>
      <c r="I4" s="21" t="b">
        <v>0</v>
      </c>
      <c r="J4" s="21" t="b">
        <v>0</v>
      </c>
      <c r="K4" s="21" t="b">
        <v>1</v>
      </c>
      <c r="L4" s="21" t="b">
        <v>1</v>
      </c>
      <c r="M4" s="21" t="b">
        <v>0</v>
      </c>
      <c r="N4" s="21" t="b">
        <v>1</v>
      </c>
      <c r="O4" s="21" t="b">
        <v>1</v>
      </c>
      <c r="P4" s="21" t="b">
        <v>0</v>
      </c>
      <c r="Q4" s="21" t="b">
        <v>0</v>
      </c>
      <c r="R4" s="21" t="b">
        <v>0</v>
      </c>
      <c r="S4" s="21" t="b">
        <v>0</v>
      </c>
      <c r="T4" s="21" t="b">
        <v>0</v>
      </c>
      <c r="U4" s="21" t="b">
        <v>0</v>
      </c>
      <c r="V4" s="21" t="b">
        <v>0</v>
      </c>
      <c r="W4" s="21" t="b">
        <v>0</v>
      </c>
      <c r="X4" s="21" t="b">
        <v>0</v>
      </c>
      <c r="Y4" s="21" t="b">
        <v>0</v>
      </c>
      <c r="Z4" s="21" t="b">
        <v>0</v>
      </c>
    </row>
    <row r="5">
      <c r="A5" s="27" t="s">
        <v>52</v>
      </c>
      <c r="B5" s="12">
        <f t="shared" si="1"/>
        <v>0.8181818182</v>
      </c>
      <c r="C5" s="12">
        <f t="shared" si="2"/>
        <v>0.5</v>
      </c>
      <c r="D5" s="21" t="s">
        <v>31</v>
      </c>
      <c r="E5" s="21" t="b">
        <v>1</v>
      </c>
      <c r="F5" s="21" t="b">
        <v>1</v>
      </c>
      <c r="G5" s="21" t="b">
        <v>1</v>
      </c>
      <c r="H5" s="21" t="b">
        <v>1</v>
      </c>
      <c r="I5" s="21" t="b">
        <v>1</v>
      </c>
      <c r="J5" s="21" t="b">
        <v>0</v>
      </c>
      <c r="K5" s="21" t="b">
        <v>1</v>
      </c>
      <c r="L5" s="21" t="b">
        <v>1</v>
      </c>
      <c r="M5" s="21" t="b">
        <v>0</v>
      </c>
      <c r="N5" s="21" t="b">
        <v>1</v>
      </c>
      <c r="O5" s="21" t="b">
        <v>1</v>
      </c>
      <c r="P5" s="28" t="b">
        <v>1</v>
      </c>
      <c r="Q5" s="28" t="b">
        <v>1</v>
      </c>
      <c r="R5" s="21" t="b">
        <v>0</v>
      </c>
      <c r="S5" s="28" t="b">
        <v>0</v>
      </c>
      <c r="T5" s="28" t="b">
        <v>0</v>
      </c>
      <c r="U5" s="28" t="b">
        <v>0</v>
      </c>
      <c r="V5" s="21" t="b">
        <v>0</v>
      </c>
      <c r="W5" s="21" t="b">
        <v>0</v>
      </c>
      <c r="X5" s="21" t="b">
        <v>0</v>
      </c>
      <c r="Y5" s="21" t="b">
        <v>0</v>
      </c>
      <c r="Z5" s="21" t="b">
        <v>0</v>
      </c>
    </row>
    <row r="6">
      <c r="A6" s="27" t="s">
        <v>53</v>
      </c>
      <c r="B6" s="12">
        <f t="shared" si="1"/>
        <v>0.9090909091</v>
      </c>
      <c r="C6" s="12">
        <f t="shared" si="2"/>
        <v>0.5454545455</v>
      </c>
      <c r="D6" s="21" t="s">
        <v>31</v>
      </c>
      <c r="E6" s="21" t="b">
        <v>1</v>
      </c>
      <c r="F6" s="21" t="b">
        <v>1</v>
      </c>
      <c r="G6" s="21" t="b">
        <v>1</v>
      </c>
      <c r="H6" s="21" t="b">
        <v>1</v>
      </c>
      <c r="I6" s="21" t="b">
        <v>1</v>
      </c>
      <c r="J6" s="21" t="b">
        <v>1</v>
      </c>
      <c r="K6" s="21" t="b">
        <v>1</v>
      </c>
      <c r="L6" s="21" t="b">
        <v>1</v>
      </c>
      <c r="M6" s="21" t="b">
        <v>0</v>
      </c>
      <c r="N6" s="21" t="b">
        <v>1</v>
      </c>
      <c r="O6" s="21" t="b">
        <v>1</v>
      </c>
      <c r="P6" s="28" t="b">
        <v>1</v>
      </c>
      <c r="Q6" s="28" t="b">
        <v>1</v>
      </c>
      <c r="R6" s="21" t="b">
        <v>0</v>
      </c>
      <c r="S6" s="28" t="b">
        <v>0</v>
      </c>
      <c r="T6" s="28" t="b">
        <v>0</v>
      </c>
      <c r="U6" s="28" t="b">
        <v>0</v>
      </c>
      <c r="V6" s="21" t="b">
        <v>0</v>
      </c>
      <c r="W6" s="21" t="b">
        <v>0</v>
      </c>
      <c r="X6" s="21" t="b">
        <v>0</v>
      </c>
      <c r="Y6" s="21" t="b">
        <v>0</v>
      </c>
      <c r="Z6" s="21" t="b">
        <v>0</v>
      </c>
    </row>
    <row r="7">
      <c r="A7" s="26" t="s">
        <v>54</v>
      </c>
      <c r="B7" s="12">
        <f t="shared" si="1"/>
        <v>0.5454545455</v>
      </c>
      <c r="C7" s="12">
        <f t="shared" si="2"/>
        <v>0.2727272727</v>
      </c>
      <c r="D7" s="29"/>
      <c r="E7" s="21" t="b">
        <v>0</v>
      </c>
      <c r="F7" s="21" t="b">
        <v>0</v>
      </c>
      <c r="G7" s="21" t="b">
        <v>0</v>
      </c>
      <c r="H7" s="21" t="b">
        <v>0</v>
      </c>
      <c r="I7" s="21" t="b">
        <v>1</v>
      </c>
      <c r="J7" s="21" t="b">
        <v>1</v>
      </c>
      <c r="K7" s="21" t="b">
        <v>1</v>
      </c>
      <c r="L7" s="21" t="b">
        <v>1</v>
      </c>
      <c r="M7" s="21" t="b">
        <v>0</v>
      </c>
      <c r="N7" s="21" t="b">
        <v>1</v>
      </c>
      <c r="O7" s="21" t="b">
        <v>1</v>
      </c>
      <c r="P7" s="21" t="b">
        <v>0</v>
      </c>
      <c r="Q7" s="21" t="b">
        <v>0</v>
      </c>
      <c r="R7" s="21" t="b">
        <v>0</v>
      </c>
      <c r="S7" s="21" t="b">
        <v>0</v>
      </c>
      <c r="T7" s="21" t="b">
        <v>0</v>
      </c>
      <c r="U7" s="21" t="b">
        <v>0</v>
      </c>
      <c r="V7" s="21" t="b">
        <v>0</v>
      </c>
      <c r="W7" s="21" t="b">
        <v>0</v>
      </c>
      <c r="X7" s="21" t="b">
        <v>0</v>
      </c>
      <c r="Y7" s="21" t="b">
        <v>0</v>
      </c>
      <c r="Z7" s="21" t="b">
        <v>0</v>
      </c>
    </row>
    <row r="8">
      <c r="A8" s="27" t="s">
        <v>55</v>
      </c>
      <c r="B8" s="12">
        <f t="shared" si="1"/>
        <v>0.9090909091</v>
      </c>
      <c r="C8" s="12">
        <f t="shared" si="2"/>
        <v>0.5454545455</v>
      </c>
      <c r="D8" s="21" t="s">
        <v>31</v>
      </c>
      <c r="E8" s="21" t="b">
        <v>1</v>
      </c>
      <c r="F8" s="21" t="b">
        <v>1</v>
      </c>
      <c r="G8" s="21" t="b">
        <v>1</v>
      </c>
      <c r="H8" s="21" t="b">
        <v>1</v>
      </c>
      <c r="I8" s="21" t="b">
        <v>1</v>
      </c>
      <c r="J8" s="21" t="b">
        <v>1</v>
      </c>
      <c r="K8" s="21" t="b">
        <v>1</v>
      </c>
      <c r="L8" s="21" t="b">
        <v>1</v>
      </c>
      <c r="M8" s="21" t="b">
        <v>0</v>
      </c>
      <c r="N8" s="21" t="b">
        <v>1</v>
      </c>
      <c r="O8" s="21" t="b">
        <v>1</v>
      </c>
      <c r="P8" s="28" t="b">
        <v>1</v>
      </c>
      <c r="Q8" s="28" t="b">
        <v>1</v>
      </c>
      <c r="R8" s="21" t="b">
        <v>0</v>
      </c>
      <c r="S8" s="28" t="b">
        <v>0</v>
      </c>
      <c r="T8" s="28" t="b">
        <v>0</v>
      </c>
      <c r="U8" s="28" t="b">
        <v>0</v>
      </c>
      <c r="V8" s="21" t="b">
        <v>0</v>
      </c>
      <c r="W8" s="21" t="b">
        <v>0</v>
      </c>
      <c r="X8" s="21" t="b">
        <v>0</v>
      </c>
      <c r="Y8" s="21" t="b">
        <v>0</v>
      </c>
      <c r="Z8" s="21" t="b">
        <v>0</v>
      </c>
    </row>
    <row r="9">
      <c r="A9" s="27" t="s">
        <v>56</v>
      </c>
      <c r="B9" s="12">
        <f t="shared" si="1"/>
        <v>0.9090909091</v>
      </c>
      <c r="C9" s="12">
        <f t="shared" si="2"/>
        <v>0.5454545455</v>
      </c>
      <c r="D9" s="21" t="s">
        <v>31</v>
      </c>
      <c r="E9" s="21" t="b">
        <v>1</v>
      </c>
      <c r="F9" s="21" t="b">
        <v>1</v>
      </c>
      <c r="G9" s="21" t="b">
        <v>1</v>
      </c>
      <c r="H9" s="21" t="b">
        <v>1</v>
      </c>
      <c r="I9" s="21" t="b">
        <v>1</v>
      </c>
      <c r="J9" s="21" t="b">
        <v>1</v>
      </c>
      <c r="K9" s="21" t="b">
        <v>1</v>
      </c>
      <c r="L9" s="21" t="b">
        <v>1</v>
      </c>
      <c r="M9" s="21" t="b">
        <v>0</v>
      </c>
      <c r="N9" s="21" t="b">
        <v>1</v>
      </c>
      <c r="O9" s="21" t="b">
        <v>1</v>
      </c>
      <c r="P9" s="28" t="b">
        <v>1</v>
      </c>
      <c r="Q9" s="28" t="b">
        <v>1</v>
      </c>
      <c r="R9" s="21" t="b">
        <v>0</v>
      </c>
      <c r="S9" s="28" t="b">
        <v>0</v>
      </c>
      <c r="T9" s="28" t="b">
        <v>0</v>
      </c>
      <c r="U9" s="28" t="b">
        <v>0</v>
      </c>
      <c r="V9" s="21" t="b">
        <v>0</v>
      </c>
      <c r="W9" s="21" t="b">
        <v>0</v>
      </c>
      <c r="X9" s="21" t="b">
        <v>0</v>
      </c>
      <c r="Y9" s="21" t="b">
        <v>0</v>
      </c>
      <c r="Z9" s="21" t="b">
        <v>0</v>
      </c>
    </row>
    <row r="10">
      <c r="A10" s="27" t="s">
        <v>57</v>
      </c>
      <c r="B10" s="12">
        <f t="shared" si="1"/>
        <v>0.9090909091</v>
      </c>
      <c r="C10" s="12">
        <f t="shared" si="2"/>
        <v>0.5454545455</v>
      </c>
      <c r="D10" s="21" t="s">
        <v>31</v>
      </c>
      <c r="E10" s="21" t="b">
        <v>1</v>
      </c>
      <c r="F10" s="21" t="b">
        <v>1</v>
      </c>
      <c r="G10" s="21" t="b">
        <v>1</v>
      </c>
      <c r="H10" s="21" t="b">
        <v>1</v>
      </c>
      <c r="I10" s="21" t="b">
        <v>1</v>
      </c>
      <c r="J10" s="21" t="b">
        <v>1</v>
      </c>
      <c r="K10" s="21" t="b">
        <v>1</v>
      </c>
      <c r="L10" s="21" t="b">
        <v>1</v>
      </c>
      <c r="M10" s="21" t="b">
        <v>0</v>
      </c>
      <c r="N10" s="21" t="b">
        <v>1</v>
      </c>
      <c r="O10" s="21" t="b">
        <v>1</v>
      </c>
      <c r="P10" s="28" t="b">
        <v>1</v>
      </c>
      <c r="Q10" s="28" t="b">
        <v>1</v>
      </c>
      <c r="R10" s="21" t="b">
        <v>0</v>
      </c>
      <c r="S10" s="28" t="b">
        <v>0</v>
      </c>
      <c r="T10" s="28" t="b">
        <v>0</v>
      </c>
      <c r="U10" s="28" t="b">
        <v>0</v>
      </c>
      <c r="V10" s="21" t="b">
        <v>0</v>
      </c>
      <c r="W10" s="21" t="b">
        <v>0</v>
      </c>
      <c r="X10" s="21" t="b">
        <v>0</v>
      </c>
      <c r="Y10" s="21" t="b">
        <v>0</v>
      </c>
      <c r="Z10" s="21" t="b">
        <v>0</v>
      </c>
    </row>
    <row r="11">
      <c r="A11" s="30" t="s">
        <v>58</v>
      </c>
      <c r="B11" s="12">
        <f t="shared" si="1"/>
        <v>0.2727272727</v>
      </c>
      <c r="C11" s="12">
        <f t="shared" si="2"/>
        <v>0.1363636364</v>
      </c>
      <c r="D11" s="29"/>
      <c r="E11" s="21" t="b">
        <v>0</v>
      </c>
      <c r="F11" s="21" t="b">
        <v>0</v>
      </c>
      <c r="G11" s="21" t="b">
        <v>0</v>
      </c>
      <c r="H11" s="21" t="b">
        <v>0</v>
      </c>
      <c r="I11" s="21" t="b">
        <v>0</v>
      </c>
      <c r="J11" s="21" t="b">
        <v>0</v>
      </c>
      <c r="K11" s="21" t="b">
        <v>1</v>
      </c>
      <c r="L11" s="21" t="b">
        <v>0</v>
      </c>
      <c r="M11" s="21" t="b">
        <v>0</v>
      </c>
      <c r="N11" s="21" t="b">
        <v>1</v>
      </c>
      <c r="O11" s="21" t="b">
        <v>1</v>
      </c>
      <c r="P11" s="21" t="b">
        <v>0</v>
      </c>
      <c r="Q11" s="21" t="b">
        <v>0</v>
      </c>
      <c r="R11" s="21" t="b">
        <v>0</v>
      </c>
      <c r="S11" s="21" t="b">
        <v>0</v>
      </c>
      <c r="T11" s="21" t="b">
        <v>0</v>
      </c>
      <c r="U11" s="21" t="b">
        <v>0</v>
      </c>
      <c r="V11" s="21" t="b">
        <v>0</v>
      </c>
      <c r="W11" s="21" t="b">
        <v>0</v>
      </c>
      <c r="X11" s="21" t="b">
        <v>0</v>
      </c>
      <c r="Y11" s="21" t="b">
        <v>0</v>
      </c>
      <c r="Z11" s="21" t="b">
        <v>0</v>
      </c>
    </row>
    <row r="12">
      <c r="A12" s="27" t="s">
        <v>59</v>
      </c>
      <c r="B12" s="12">
        <f t="shared" si="1"/>
        <v>0.8181818182</v>
      </c>
      <c r="C12" s="12">
        <f t="shared" si="2"/>
        <v>0.5</v>
      </c>
      <c r="D12" s="21" t="s">
        <v>31</v>
      </c>
      <c r="E12" s="21" t="b">
        <v>1</v>
      </c>
      <c r="F12" s="21" t="b">
        <v>1</v>
      </c>
      <c r="G12" s="21" t="b">
        <v>1</v>
      </c>
      <c r="H12" s="21" t="b">
        <v>1</v>
      </c>
      <c r="I12" s="21" t="b">
        <v>0</v>
      </c>
      <c r="J12" s="21" t="b">
        <v>1</v>
      </c>
      <c r="K12" s="21" t="b">
        <v>1</v>
      </c>
      <c r="L12" s="21" t="b">
        <v>1</v>
      </c>
      <c r="M12" s="21" t="b">
        <v>0</v>
      </c>
      <c r="N12" s="21" t="b">
        <v>1</v>
      </c>
      <c r="O12" s="21" t="b">
        <v>1</v>
      </c>
      <c r="P12" s="28" t="b">
        <v>1</v>
      </c>
      <c r="Q12" s="28" t="b">
        <v>1</v>
      </c>
      <c r="R12" s="21" t="b">
        <v>0</v>
      </c>
      <c r="S12" s="28" t="b">
        <v>0</v>
      </c>
      <c r="T12" s="28" t="b">
        <v>0</v>
      </c>
      <c r="U12" s="28" t="b">
        <v>0</v>
      </c>
      <c r="V12" s="21" t="b">
        <v>0</v>
      </c>
      <c r="W12" s="21" t="b">
        <v>0</v>
      </c>
      <c r="X12" s="21" t="b">
        <v>0</v>
      </c>
      <c r="Y12" s="21" t="b">
        <v>0</v>
      </c>
      <c r="Z12" s="21" t="b">
        <v>0</v>
      </c>
    </row>
    <row r="13">
      <c r="A13" s="27" t="s">
        <v>60</v>
      </c>
      <c r="B13" s="12">
        <f t="shared" si="1"/>
        <v>0.9090909091</v>
      </c>
      <c r="C13" s="12">
        <f t="shared" si="2"/>
        <v>0.5454545455</v>
      </c>
      <c r="D13" s="21" t="s">
        <v>31</v>
      </c>
      <c r="E13" s="21" t="b">
        <v>1</v>
      </c>
      <c r="F13" s="21" t="b">
        <v>1</v>
      </c>
      <c r="G13" s="21" t="b">
        <v>1</v>
      </c>
      <c r="H13" s="21" t="b">
        <v>1</v>
      </c>
      <c r="I13" s="21" t="b">
        <v>1</v>
      </c>
      <c r="J13" s="21" t="b">
        <v>1</v>
      </c>
      <c r="K13" s="21" t="b">
        <v>1</v>
      </c>
      <c r="L13" s="21" t="b">
        <v>1</v>
      </c>
      <c r="M13" s="21" t="b">
        <v>0</v>
      </c>
      <c r="N13" s="21" t="b">
        <v>1</v>
      </c>
      <c r="O13" s="21" t="b">
        <v>1</v>
      </c>
      <c r="P13" s="28" t="b">
        <v>1</v>
      </c>
      <c r="Q13" s="28" t="b">
        <v>1</v>
      </c>
      <c r="R13" s="21" t="b">
        <v>0</v>
      </c>
      <c r="S13" s="28" t="b">
        <v>0</v>
      </c>
      <c r="T13" s="28" t="b">
        <v>0</v>
      </c>
      <c r="U13" s="28" t="b">
        <v>0</v>
      </c>
      <c r="V13" s="21" t="b">
        <v>0</v>
      </c>
      <c r="W13" s="21" t="b">
        <v>0</v>
      </c>
      <c r="X13" s="21" t="b">
        <v>0</v>
      </c>
      <c r="Y13" s="21" t="b">
        <v>0</v>
      </c>
      <c r="Z13" s="21" t="b">
        <v>0</v>
      </c>
    </row>
    <row r="14">
      <c r="A14" s="27" t="s">
        <v>61</v>
      </c>
      <c r="B14" s="12">
        <f t="shared" si="1"/>
        <v>0.9090909091</v>
      </c>
      <c r="C14" s="12">
        <f t="shared" si="2"/>
        <v>0.5454545455</v>
      </c>
      <c r="D14" s="21" t="s">
        <v>31</v>
      </c>
      <c r="E14" s="21" t="b">
        <v>1</v>
      </c>
      <c r="F14" s="21" t="b">
        <v>1</v>
      </c>
      <c r="G14" s="21" t="b">
        <v>1</v>
      </c>
      <c r="H14" s="21" t="b">
        <v>1</v>
      </c>
      <c r="I14" s="21" t="b">
        <v>1</v>
      </c>
      <c r="J14" s="21" t="b">
        <v>1</v>
      </c>
      <c r="K14" s="21" t="b">
        <v>1</v>
      </c>
      <c r="L14" s="21" t="b">
        <v>1</v>
      </c>
      <c r="M14" s="21" t="b">
        <v>0</v>
      </c>
      <c r="N14" s="21" t="b">
        <v>1</v>
      </c>
      <c r="O14" s="21" t="b">
        <v>1</v>
      </c>
      <c r="P14" s="28" t="b">
        <v>1</v>
      </c>
      <c r="Q14" s="28" t="b">
        <v>1</v>
      </c>
      <c r="R14" s="21" t="b">
        <v>0</v>
      </c>
      <c r="S14" s="28" t="b">
        <v>0</v>
      </c>
      <c r="T14" s="28" t="b">
        <v>0</v>
      </c>
      <c r="U14" s="28" t="b">
        <v>0</v>
      </c>
      <c r="V14" s="21" t="b">
        <v>0</v>
      </c>
      <c r="W14" s="21" t="b">
        <v>0</v>
      </c>
      <c r="X14" s="21" t="b">
        <v>0</v>
      </c>
      <c r="Y14" s="21" t="b">
        <v>0</v>
      </c>
      <c r="Z14" s="21" t="b">
        <v>0</v>
      </c>
    </row>
    <row r="15">
      <c r="A15" s="26" t="s">
        <v>62</v>
      </c>
      <c r="B15" s="12">
        <f t="shared" si="1"/>
        <v>0.4545454545</v>
      </c>
      <c r="C15" s="12">
        <f t="shared" si="2"/>
        <v>0.2272727273</v>
      </c>
      <c r="D15" s="29"/>
      <c r="E15" s="21" t="b">
        <v>0</v>
      </c>
      <c r="F15" s="21" t="b">
        <v>0</v>
      </c>
      <c r="G15" s="21" t="b">
        <v>0</v>
      </c>
      <c r="H15" s="21" t="b">
        <v>0</v>
      </c>
      <c r="I15" s="21" t="b">
        <v>1</v>
      </c>
      <c r="J15" s="21" t="b">
        <v>0</v>
      </c>
      <c r="K15" s="21" t="b">
        <v>1</v>
      </c>
      <c r="L15" s="21" t="b">
        <v>1</v>
      </c>
      <c r="M15" s="21" t="b">
        <v>0</v>
      </c>
      <c r="N15" s="21" t="b">
        <v>1</v>
      </c>
      <c r="O15" s="21" t="b">
        <v>1</v>
      </c>
      <c r="P15" s="21" t="b">
        <v>0</v>
      </c>
      <c r="Q15" s="21" t="b">
        <v>0</v>
      </c>
      <c r="R15" s="21" t="b">
        <v>0</v>
      </c>
      <c r="S15" s="21" t="b">
        <v>0</v>
      </c>
      <c r="T15" s="21" t="b">
        <v>0</v>
      </c>
      <c r="U15" s="21" t="b">
        <v>0</v>
      </c>
      <c r="V15" s="21" t="b">
        <v>0</v>
      </c>
      <c r="W15" s="21" t="b">
        <v>0</v>
      </c>
      <c r="X15" s="21" t="b">
        <v>0</v>
      </c>
      <c r="Y15" s="21" t="b">
        <v>0</v>
      </c>
      <c r="Z15" s="21" t="b">
        <v>0</v>
      </c>
    </row>
    <row r="16">
      <c r="A16" s="27" t="s">
        <v>63</v>
      </c>
      <c r="B16" s="12">
        <f t="shared" si="1"/>
        <v>0.9090909091</v>
      </c>
      <c r="C16" s="12">
        <f t="shared" si="2"/>
        <v>0.5454545455</v>
      </c>
      <c r="D16" s="21" t="s">
        <v>31</v>
      </c>
      <c r="E16" s="21" t="b">
        <v>1</v>
      </c>
      <c r="F16" s="21" t="b">
        <v>1</v>
      </c>
      <c r="G16" s="21" t="b">
        <v>1</v>
      </c>
      <c r="H16" s="21" t="b">
        <v>1</v>
      </c>
      <c r="I16" s="21" t="b">
        <v>1</v>
      </c>
      <c r="J16" s="21" t="b">
        <v>1</v>
      </c>
      <c r="K16" s="21" t="b">
        <v>1</v>
      </c>
      <c r="L16" s="21" t="b">
        <v>1</v>
      </c>
      <c r="M16" s="21" t="b">
        <v>0</v>
      </c>
      <c r="N16" s="21" t="b">
        <v>1</v>
      </c>
      <c r="O16" s="21" t="b">
        <v>1</v>
      </c>
      <c r="P16" s="28" t="b">
        <v>1</v>
      </c>
      <c r="Q16" s="28" t="b">
        <v>1</v>
      </c>
      <c r="R16" s="21" t="b">
        <v>0</v>
      </c>
      <c r="S16" s="28" t="b">
        <v>0</v>
      </c>
      <c r="T16" s="28" t="b">
        <v>0</v>
      </c>
      <c r="U16" s="28" t="b">
        <v>0</v>
      </c>
      <c r="V16" s="21" t="b">
        <v>0</v>
      </c>
      <c r="W16" s="21" t="b">
        <v>0</v>
      </c>
      <c r="X16" s="21" t="b">
        <v>0</v>
      </c>
      <c r="Y16" s="21" t="b">
        <v>0</v>
      </c>
      <c r="Z16" s="21" t="b">
        <v>0</v>
      </c>
    </row>
    <row r="17">
      <c r="A17" s="10" t="s">
        <v>64</v>
      </c>
      <c r="E17" s="21">
        <f t="shared" ref="E17:Z17" si="3">COUNTIF(E2:E16, TRUE)</f>
        <v>11</v>
      </c>
      <c r="F17" s="21">
        <f t="shared" si="3"/>
        <v>11</v>
      </c>
      <c r="G17" s="21">
        <f t="shared" si="3"/>
        <v>10</v>
      </c>
      <c r="H17" s="21">
        <f t="shared" si="3"/>
        <v>11</v>
      </c>
      <c r="I17" s="21">
        <f t="shared" si="3"/>
        <v>11</v>
      </c>
      <c r="J17" s="21">
        <f t="shared" si="3"/>
        <v>10</v>
      </c>
      <c r="K17" s="21">
        <f t="shared" si="3"/>
        <v>15</v>
      </c>
      <c r="L17" s="21">
        <f t="shared" si="3"/>
        <v>13</v>
      </c>
      <c r="M17" s="21">
        <f t="shared" si="3"/>
        <v>0</v>
      </c>
      <c r="N17" s="21">
        <f t="shared" si="3"/>
        <v>15</v>
      </c>
      <c r="O17" s="21">
        <f t="shared" si="3"/>
        <v>15</v>
      </c>
      <c r="P17" s="21">
        <f t="shared" si="3"/>
        <v>10</v>
      </c>
      <c r="Q17" s="21">
        <f t="shared" si="3"/>
        <v>10</v>
      </c>
      <c r="R17" s="21">
        <f t="shared" si="3"/>
        <v>0</v>
      </c>
      <c r="S17" s="21">
        <f t="shared" si="3"/>
        <v>0</v>
      </c>
      <c r="T17" s="21">
        <f t="shared" si="3"/>
        <v>0</v>
      </c>
      <c r="U17" s="21">
        <f t="shared" si="3"/>
        <v>0</v>
      </c>
      <c r="V17" s="21">
        <f t="shared" si="3"/>
        <v>0</v>
      </c>
      <c r="W17" s="21">
        <f t="shared" si="3"/>
        <v>0</v>
      </c>
      <c r="X17" s="21">
        <f t="shared" si="3"/>
        <v>0</v>
      </c>
      <c r="Y17" s="21">
        <f t="shared" si="3"/>
        <v>0</v>
      </c>
      <c r="Z17" s="21">
        <f t="shared" si="3"/>
        <v>0</v>
      </c>
    </row>
    <row r="18">
      <c r="A18" s="31"/>
      <c r="E18" s="31"/>
      <c r="F18" s="26"/>
    </row>
    <row r="19">
      <c r="A19" s="31"/>
      <c r="E19" s="31"/>
      <c r="F19" s="26"/>
    </row>
    <row r="20">
      <c r="A20" s="31"/>
      <c r="E20" s="32" t="s">
        <v>65</v>
      </c>
      <c r="F20" s="26"/>
    </row>
    <row r="21">
      <c r="A21" s="33"/>
      <c r="E21" s="34" t="s">
        <v>66</v>
      </c>
      <c r="F21" s="26"/>
      <c r="P21" s="35" t="s">
        <v>67</v>
      </c>
    </row>
    <row r="22">
      <c r="E22" s="36" t="s">
        <v>28</v>
      </c>
      <c r="F22" s="26"/>
    </row>
    <row r="23">
      <c r="A23" s="31"/>
      <c r="E23" s="37" t="s">
        <v>68</v>
      </c>
      <c r="F23" s="26"/>
    </row>
    <row r="24">
      <c r="A24" s="31"/>
      <c r="E24" s="31"/>
      <c r="F24" s="26"/>
    </row>
    <row r="25">
      <c r="A25" s="31"/>
      <c r="E25" s="31"/>
      <c r="F25" s="26"/>
    </row>
    <row r="26">
      <c r="A26" s="33"/>
      <c r="E26" s="31"/>
      <c r="F26" s="26"/>
    </row>
    <row r="27">
      <c r="A27" s="38"/>
      <c r="E27" s="31"/>
      <c r="F27" s="39"/>
    </row>
    <row r="28">
      <c r="A28" s="31"/>
      <c r="E28" s="31"/>
      <c r="F28" s="26"/>
    </row>
    <row r="29">
      <c r="A29" s="31"/>
      <c r="E29" s="31"/>
      <c r="F29" s="26"/>
    </row>
    <row r="30">
      <c r="A30" s="31"/>
      <c r="E30" s="31"/>
      <c r="F30" s="26"/>
    </row>
    <row r="31">
      <c r="A31" s="31"/>
      <c r="E31" s="31"/>
      <c r="F31" s="26"/>
    </row>
    <row r="32">
      <c r="A32" s="31"/>
      <c r="E32" s="31"/>
      <c r="F32" s="26"/>
    </row>
  </sheetData>
  <conditionalFormatting sqref="E2:Z16">
    <cfRule type="cellIs" dxfId="0" priority="1" operator="equal">
      <formula>"TRUE"</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4" width="7.0"/>
  </cols>
  <sheetData>
    <row r="1">
      <c r="B1" s="21" t="s">
        <v>29</v>
      </c>
      <c r="C1" s="21" t="s">
        <v>30</v>
      </c>
      <c r="D1" s="21" t="s">
        <v>31</v>
      </c>
      <c r="E1" s="21" t="s">
        <v>69</v>
      </c>
      <c r="F1" s="21" t="s">
        <v>70</v>
      </c>
      <c r="G1" s="21" t="s">
        <v>71</v>
      </c>
      <c r="H1" s="21" t="s">
        <v>72</v>
      </c>
      <c r="I1" s="21" t="s">
        <v>73</v>
      </c>
      <c r="J1" s="21" t="s">
        <v>74</v>
      </c>
      <c r="K1" s="21" t="s">
        <v>75</v>
      </c>
      <c r="L1" s="21" t="s">
        <v>76</v>
      </c>
      <c r="M1" s="21" t="s">
        <v>77</v>
      </c>
      <c r="N1" s="21" t="s">
        <v>78</v>
      </c>
      <c r="O1" s="23" t="s">
        <v>41</v>
      </c>
      <c r="P1" s="23" t="s">
        <v>41</v>
      </c>
      <c r="Q1" s="25" t="s">
        <v>48</v>
      </c>
      <c r="R1" s="25" t="s">
        <v>48</v>
      </c>
      <c r="S1" s="25" t="s">
        <v>48</v>
      </c>
      <c r="T1" s="25" t="s">
        <v>48</v>
      </c>
      <c r="U1" s="25" t="s">
        <v>48</v>
      </c>
      <c r="V1" s="24" t="s">
        <v>79</v>
      </c>
      <c r="W1" s="24" t="s">
        <v>80</v>
      </c>
      <c r="X1" s="24" t="s">
        <v>81</v>
      </c>
      <c r="Y1" s="24" t="s">
        <v>82</v>
      </c>
      <c r="Z1" s="24" t="s">
        <v>83</v>
      </c>
      <c r="AA1" s="24" t="s">
        <v>84</v>
      </c>
    </row>
    <row r="2">
      <c r="A2" s="27" t="s">
        <v>49</v>
      </c>
      <c r="B2" s="29">
        <f t="shared" ref="B2:B16" si="1">COUNTIF(E2:P2, TRUE) / COUNTA(E2:P2)</f>
        <v>1</v>
      </c>
      <c r="C2" s="29">
        <f t="shared" ref="C2:C16" si="2">COUNTIF(E2:AA2, TRUE) / COUNTA(E2:AA2)</f>
        <v>0.6956521739</v>
      </c>
      <c r="D2" s="21" t="s">
        <v>31</v>
      </c>
      <c r="E2" s="21" t="b">
        <v>1</v>
      </c>
      <c r="F2" s="21" t="b">
        <v>1</v>
      </c>
      <c r="G2" s="21" t="b">
        <v>1</v>
      </c>
      <c r="H2" s="21" t="b">
        <v>1</v>
      </c>
      <c r="I2" s="21" t="b">
        <v>1</v>
      </c>
      <c r="J2" s="21" t="b">
        <v>1</v>
      </c>
      <c r="K2" s="21" t="b">
        <v>1</v>
      </c>
      <c r="L2" s="21" t="b">
        <v>1</v>
      </c>
      <c r="M2" s="21" t="b">
        <v>1</v>
      </c>
      <c r="N2" s="21" t="b">
        <v>1</v>
      </c>
      <c r="O2" s="21" t="b">
        <v>1</v>
      </c>
      <c r="P2" s="21" t="b">
        <v>1</v>
      </c>
      <c r="Q2" s="21" t="b">
        <v>1</v>
      </c>
      <c r="R2" s="21" t="b">
        <v>1</v>
      </c>
      <c r="S2" s="21" t="b">
        <v>0</v>
      </c>
      <c r="T2" s="21" t="b">
        <v>0</v>
      </c>
      <c r="U2" s="21" t="b">
        <v>0</v>
      </c>
      <c r="V2" s="21" t="b">
        <v>0</v>
      </c>
      <c r="W2" s="21" t="b">
        <v>1</v>
      </c>
      <c r="X2" s="21" t="b">
        <v>0</v>
      </c>
      <c r="Y2" s="21" t="b">
        <v>1</v>
      </c>
      <c r="Z2" s="21" t="b">
        <v>0</v>
      </c>
      <c r="AA2" s="21" t="b">
        <v>0</v>
      </c>
    </row>
    <row r="3">
      <c r="A3" s="27" t="s">
        <v>50</v>
      </c>
      <c r="B3" s="29">
        <f t="shared" si="1"/>
        <v>0.9166666667</v>
      </c>
      <c r="C3" s="29">
        <f t="shared" si="2"/>
        <v>0.652173913</v>
      </c>
      <c r="D3" s="21" t="s">
        <v>31</v>
      </c>
      <c r="E3" s="21" t="b">
        <v>1</v>
      </c>
      <c r="F3" s="21" t="b">
        <v>1</v>
      </c>
      <c r="G3" s="21" t="b">
        <v>1</v>
      </c>
      <c r="H3" s="21" t="b">
        <v>1</v>
      </c>
      <c r="I3" s="21" t="b">
        <v>1</v>
      </c>
      <c r="J3" s="21" t="b">
        <v>1</v>
      </c>
      <c r="K3" s="21" t="b">
        <v>1</v>
      </c>
      <c r="L3" s="21" t="b">
        <v>1</v>
      </c>
      <c r="M3" s="21" t="b">
        <v>1</v>
      </c>
      <c r="N3" s="21" t="b">
        <v>0</v>
      </c>
      <c r="O3" s="21" t="b">
        <v>1</v>
      </c>
      <c r="P3" s="21" t="b">
        <v>1</v>
      </c>
      <c r="Q3" s="21" t="b">
        <v>1</v>
      </c>
      <c r="R3" s="21" t="b">
        <v>0</v>
      </c>
      <c r="S3" s="21" t="b">
        <v>0</v>
      </c>
      <c r="T3" s="21" t="b">
        <v>0</v>
      </c>
      <c r="U3" s="21" t="b">
        <v>0</v>
      </c>
      <c r="V3" s="21" t="b">
        <v>1</v>
      </c>
      <c r="W3" s="21" t="b">
        <v>1</v>
      </c>
      <c r="X3" s="21" t="b">
        <v>0</v>
      </c>
      <c r="Y3" s="21" t="b">
        <v>1</v>
      </c>
      <c r="Z3" s="21" t="b">
        <v>0</v>
      </c>
      <c r="AA3" s="21" t="b">
        <v>0</v>
      </c>
    </row>
    <row r="4">
      <c r="A4" s="26" t="s">
        <v>51</v>
      </c>
      <c r="B4" s="29">
        <f t="shared" si="1"/>
        <v>0.75</v>
      </c>
      <c r="C4" s="29">
        <f t="shared" si="2"/>
        <v>0.652173913</v>
      </c>
      <c r="D4" s="29"/>
      <c r="E4" s="21" t="b">
        <v>1</v>
      </c>
      <c r="F4" s="21" t="b">
        <v>1</v>
      </c>
      <c r="G4" s="21" t="b">
        <v>0</v>
      </c>
      <c r="H4" s="21" t="b">
        <v>0</v>
      </c>
      <c r="I4" s="21" t="b">
        <v>0</v>
      </c>
      <c r="J4" s="21" t="b">
        <v>1</v>
      </c>
      <c r="K4" s="21" t="b">
        <v>1</v>
      </c>
      <c r="L4" s="21" t="b">
        <v>1</v>
      </c>
      <c r="M4" s="21" t="b">
        <v>1</v>
      </c>
      <c r="N4" s="21" t="b">
        <v>1</v>
      </c>
      <c r="O4" s="21" t="b">
        <v>1</v>
      </c>
      <c r="P4" s="21" t="b">
        <v>1</v>
      </c>
      <c r="Q4" s="21" t="b">
        <v>1</v>
      </c>
      <c r="R4" s="21" t="b">
        <v>1</v>
      </c>
      <c r="S4" s="21" t="b">
        <v>1</v>
      </c>
      <c r="T4" s="21" t="b">
        <v>1</v>
      </c>
      <c r="U4" s="21" t="b">
        <v>1</v>
      </c>
      <c r="V4" s="21" t="b">
        <v>0</v>
      </c>
      <c r="W4" s="21" t="b">
        <v>0</v>
      </c>
      <c r="X4" s="21" t="b">
        <v>0</v>
      </c>
      <c r="Y4" s="21" t="b">
        <v>1</v>
      </c>
      <c r="Z4" s="21" t="b">
        <v>0</v>
      </c>
      <c r="AA4" s="21" t="b">
        <v>0</v>
      </c>
    </row>
    <row r="5">
      <c r="A5" s="27" t="s">
        <v>52</v>
      </c>
      <c r="B5" s="29">
        <f t="shared" si="1"/>
        <v>1</v>
      </c>
      <c r="C5" s="29">
        <f t="shared" si="2"/>
        <v>0.7391304348</v>
      </c>
      <c r="D5" s="21" t="s">
        <v>31</v>
      </c>
      <c r="E5" s="21" t="b">
        <v>1</v>
      </c>
      <c r="F5" s="21" t="b">
        <v>1</v>
      </c>
      <c r="G5" s="21" t="b">
        <v>1</v>
      </c>
      <c r="H5" s="21" t="b">
        <v>1</v>
      </c>
      <c r="I5" s="21" t="b">
        <v>1</v>
      </c>
      <c r="J5" s="21" t="b">
        <v>1</v>
      </c>
      <c r="K5" s="21" t="b">
        <v>1</v>
      </c>
      <c r="L5" s="21" t="b">
        <v>1</v>
      </c>
      <c r="M5" s="21" t="b">
        <v>1</v>
      </c>
      <c r="N5" s="21" t="b">
        <v>1</v>
      </c>
      <c r="O5" s="21" t="b">
        <v>1</v>
      </c>
      <c r="P5" s="21" t="b">
        <v>1</v>
      </c>
      <c r="Q5" s="21" t="b">
        <v>1</v>
      </c>
      <c r="R5" s="21" t="b">
        <v>1</v>
      </c>
      <c r="S5" s="21" t="b">
        <v>1</v>
      </c>
      <c r="T5" s="21" t="b">
        <v>1</v>
      </c>
      <c r="U5" s="21" t="b">
        <v>0</v>
      </c>
      <c r="V5" s="21" t="b">
        <v>0</v>
      </c>
      <c r="W5" s="21" t="b">
        <v>0</v>
      </c>
      <c r="X5" s="21" t="b">
        <v>0</v>
      </c>
      <c r="Y5" s="21" t="b">
        <v>1</v>
      </c>
      <c r="Z5" s="21" t="b">
        <v>0</v>
      </c>
      <c r="AA5" s="21" t="b">
        <v>0</v>
      </c>
    </row>
    <row r="6">
      <c r="A6" s="27" t="s">
        <v>53</v>
      </c>
      <c r="B6" s="29">
        <f t="shared" si="1"/>
        <v>1</v>
      </c>
      <c r="C6" s="29">
        <f t="shared" si="2"/>
        <v>0.652173913</v>
      </c>
      <c r="D6" s="21" t="s">
        <v>31</v>
      </c>
      <c r="E6" s="21" t="b">
        <v>1</v>
      </c>
      <c r="F6" s="21" t="b">
        <v>1</v>
      </c>
      <c r="G6" s="21" t="b">
        <v>1</v>
      </c>
      <c r="H6" s="21" t="b">
        <v>1</v>
      </c>
      <c r="I6" s="21" t="b">
        <v>1</v>
      </c>
      <c r="J6" s="21" t="b">
        <v>1</v>
      </c>
      <c r="K6" s="21" t="b">
        <v>1</v>
      </c>
      <c r="L6" s="21" t="b">
        <v>1</v>
      </c>
      <c r="M6" s="21" t="b">
        <v>1</v>
      </c>
      <c r="N6" s="21" t="b">
        <v>1</v>
      </c>
      <c r="O6" s="21" t="b">
        <v>1</v>
      </c>
      <c r="P6" s="21" t="b">
        <v>1</v>
      </c>
      <c r="Q6" s="21" t="b">
        <v>1</v>
      </c>
      <c r="R6" s="21" t="b">
        <v>1</v>
      </c>
      <c r="S6" s="21" t="b">
        <v>0</v>
      </c>
      <c r="T6" s="21" t="b">
        <v>0</v>
      </c>
      <c r="U6" s="21" t="b">
        <v>0</v>
      </c>
      <c r="V6" s="21" t="b">
        <v>0</v>
      </c>
      <c r="W6" s="21" t="b">
        <v>0</v>
      </c>
      <c r="X6" s="21" t="b">
        <v>0</v>
      </c>
      <c r="Y6" s="21" t="b">
        <v>1</v>
      </c>
      <c r="Z6" s="21" t="b">
        <v>0</v>
      </c>
      <c r="AA6" s="21" t="b">
        <v>0</v>
      </c>
    </row>
    <row r="7">
      <c r="A7" s="26" t="s">
        <v>54</v>
      </c>
      <c r="B7" s="29">
        <f t="shared" si="1"/>
        <v>0.75</v>
      </c>
      <c r="C7" s="29">
        <f t="shared" si="2"/>
        <v>0.4782608696</v>
      </c>
      <c r="D7" s="29"/>
      <c r="E7" s="21" t="b">
        <v>1</v>
      </c>
      <c r="F7" s="21" t="b">
        <v>1</v>
      </c>
      <c r="G7" s="21" t="b">
        <v>0</v>
      </c>
      <c r="H7" s="21" t="b">
        <v>0</v>
      </c>
      <c r="I7" s="21" t="b">
        <v>0</v>
      </c>
      <c r="J7" s="21" t="b">
        <v>1</v>
      </c>
      <c r="K7" s="21" t="b">
        <v>1</v>
      </c>
      <c r="L7" s="21" t="b">
        <v>1</v>
      </c>
      <c r="M7" s="21" t="b">
        <v>1</v>
      </c>
      <c r="N7" s="21" t="b">
        <v>1</v>
      </c>
      <c r="O7" s="21" t="b">
        <v>1</v>
      </c>
      <c r="P7" s="21" t="b">
        <v>1</v>
      </c>
      <c r="Q7" s="21" t="b">
        <v>1</v>
      </c>
      <c r="R7" s="21" t="b">
        <v>0</v>
      </c>
      <c r="S7" s="21" t="b">
        <v>0</v>
      </c>
      <c r="T7" s="21" t="b">
        <v>0</v>
      </c>
      <c r="U7" s="21" t="b">
        <v>0</v>
      </c>
      <c r="V7" s="21" t="b">
        <v>0</v>
      </c>
      <c r="W7" s="21" t="b">
        <v>0</v>
      </c>
      <c r="X7" s="21" t="b">
        <v>0</v>
      </c>
      <c r="Y7" s="21" t="b">
        <v>1</v>
      </c>
      <c r="Z7" s="21" t="b">
        <v>0</v>
      </c>
      <c r="AA7" s="21" t="b">
        <v>0</v>
      </c>
    </row>
    <row r="8">
      <c r="A8" s="27" t="s">
        <v>55</v>
      </c>
      <c r="B8" s="29">
        <f t="shared" si="1"/>
        <v>1</v>
      </c>
      <c r="C8" s="29">
        <f t="shared" si="2"/>
        <v>0.7826086957</v>
      </c>
      <c r="D8" s="21" t="s">
        <v>31</v>
      </c>
      <c r="E8" s="21" t="b">
        <v>1</v>
      </c>
      <c r="F8" s="21" t="b">
        <v>1</v>
      </c>
      <c r="G8" s="21" t="b">
        <v>1</v>
      </c>
      <c r="H8" s="21" t="b">
        <v>1</v>
      </c>
      <c r="I8" s="21" t="b">
        <v>1</v>
      </c>
      <c r="J8" s="21" t="b">
        <v>1</v>
      </c>
      <c r="K8" s="21" t="b">
        <v>1</v>
      </c>
      <c r="L8" s="21" t="b">
        <v>1</v>
      </c>
      <c r="M8" s="21" t="b">
        <v>1</v>
      </c>
      <c r="N8" s="21" t="b">
        <v>1</v>
      </c>
      <c r="O8" s="21" t="b">
        <v>1</v>
      </c>
      <c r="P8" s="21" t="b">
        <v>1</v>
      </c>
      <c r="Q8" s="21" t="b">
        <v>1</v>
      </c>
      <c r="R8" s="21" t="b">
        <v>1</v>
      </c>
      <c r="S8" s="21" t="b">
        <v>1</v>
      </c>
      <c r="T8" s="21" t="b">
        <v>1</v>
      </c>
      <c r="U8" s="21" t="b">
        <v>1</v>
      </c>
      <c r="V8" s="21" t="b">
        <v>0</v>
      </c>
      <c r="W8" s="21" t="b">
        <v>0</v>
      </c>
      <c r="X8" s="21" t="b">
        <v>0</v>
      </c>
      <c r="Y8" s="21" t="b">
        <v>1</v>
      </c>
      <c r="Z8" s="21" t="b">
        <v>0</v>
      </c>
      <c r="AA8" s="21" t="b">
        <v>0</v>
      </c>
    </row>
    <row r="9">
      <c r="A9" s="27" t="s">
        <v>56</v>
      </c>
      <c r="B9" s="29">
        <f t="shared" si="1"/>
        <v>1</v>
      </c>
      <c r="C9" s="29">
        <f t="shared" si="2"/>
        <v>0.8260869565</v>
      </c>
      <c r="D9" s="21" t="s">
        <v>31</v>
      </c>
      <c r="E9" s="21" t="b">
        <v>1</v>
      </c>
      <c r="F9" s="21" t="b">
        <v>1</v>
      </c>
      <c r="G9" s="21" t="b">
        <v>1</v>
      </c>
      <c r="H9" s="21" t="b">
        <v>1</v>
      </c>
      <c r="I9" s="21" t="b">
        <v>1</v>
      </c>
      <c r="J9" s="21" t="b">
        <v>1</v>
      </c>
      <c r="K9" s="21" t="b">
        <v>1</v>
      </c>
      <c r="L9" s="21" t="b">
        <v>1</v>
      </c>
      <c r="M9" s="21" t="b">
        <v>1</v>
      </c>
      <c r="N9" s="21" t="b">
        <v>1</v>
      </c>
      <c r="O9" s="21" t="b">
        <v>1</v>
      </c>
      <c r="P9" s="21" t="b">
        <v>1</v>
      </c>
      <c r="Q9" s="21" t="b">
        <v>1</v>
      </c>
      <c r="R9" s="21" t="b">
        <v>1</v>
      </c>
      <c r="S9" s="21" t="b">
        <v>1</v>
      </c>
      <c r="T9" s="21" t="b">
        <v>1</v>
      </c>
      <c r="U9" s="21" t="b">
        <v>1</v>
      </c>
      <c r="V9" s="21" t="b">
        <v>0</v>
      </c>
      <c r="W9" s="21" t="b">
        <v>1</v>
      </c>
      <c r="X9" s="21" t="b">
        <v>0</v>
      </c>
      <c r="Y9" s="21" t="b">
        <v>1</v>
      </c>
      <c r="Z9" s="21" t="b">
        <v>0</v>
      </c>
      <c r="AA9" s="21" t="b">
        <v>0</v>
      </c>
    </row>
    <row r="10">
      <c r="A10" s="27" t="s">
        <v>57</v>
      </c>
      <c r="B10" s="29">
        <f t="shared" si="1"/>
        <v>1</v>
      </c>
      <c r="C10" s="29">
        <f t="shared" si="2"/>
        <v>0.8260869565</v>
      </c>
      <c r="D10" s="21" t="s">
        <v>31</v>
      </c>
      <c r="E10" s="21" t="b">
        <v>1</v>
      </c>
      <c r="F10" s="21" t="b">
        <v>1</v>
      </c>
      <c r="G10" s="21" t="b">
        <v>1</v>
      </c>
      <c r="H10" s="21" t="b">
        <v>1</v>
      </c>
      <c r="I10" s="21" t="b">
        <v>1</v>
      </c>
      <c r="J10" s="21" t="b">
        <v>1</v>
      </c>
      <c r="K10" s="21" t="b">
        <v>1</v>
      </c>
      <c r="L10" s="21" t="b">
        <v>1</v>
      </c>
      <c r="M10" s="21" t="b">
        <v>1</v>
      </c>
      <c r="N10" s="21" t="b">
        <v>1</v>
      </c>
      <c r="O10" s="21" t="b">
        <v>1</v>
      </c>
      <c r="P10" s="21" t="b">
        <v>1</v>
      </c>
      <c r="Q10" s="21" t="b">
        <v>1</v>
      </c>
      <c r="R10" s="21" t="b">
        <v>1</v>
      </c>
      <c r="S10" s="21" t="b">
        <v>1</v>
      </c>
      <c r="T10" s="21" t="b">
        <v>1</v>
      </c>
      <c r="U10" s="21" t="b">
        <v>1</v>
      </c>
      <c r="V10" s="21" t="b">
        <v>0</v>
      </c>
      <c r="W10" s="21" t="b">
        <v>1</v>
      </c>
      <c r="X10" s="21" t="b">
        <v>0</v>
      </c>
      <c r="Y10" s="21" t="b">
        <v>1</v>
      </c>
      <c r="Z10" s="21" t="b">
        <v>0</v>
      </c>
      <c r="AA10" s="21" t="b">
        <v>0</v>
      </c>
    </row>
    <row r="11">
      <c r="A11" s="30" t="s">
        <v>58</v>
      </c>
      <c r="B11" s="29">
        <f t="shared" si="1"/>
        <v>0.8333333333</v>
      </c>
      <c r="C11" s="29">
        <f t="shared" si="2"/>
        <v>0.7391304348</v>
      </c>
      <c r="D11" s="29"/>
      <c r="E11" s="21" t="b">
        <v>1</v>
      </c>
      <c r="F11" s="21" t="b">
        <v>1</v>
      </c>
      <c r="G11" s="21" t="b">
        <v>0</v>
      </c>
      <c r="H11" s="21" t="b">
        <v>1</v>
      </c>
      <c r="I11" s="21" t="b">
        <v>0</v>
      </c>
      <c r="J11" s="21" t="b">
        <v>1</v>
      </c>
      <c r="K11" s="21" t="b">
        <v>1</v>
      </c>
      <c r="L11" s="21" t="b">
        <v>1</v>
      </c>
      <c r="M11" s="21" t="b">
        <v>1</v>
      </c>
      <c r="N11" s="21" t="b">
        <v>1</v>
      </c>
      <c r="O11" s="21" t="b">
        <v>1</v>
      </c>
      <c r="P11" s="21" t="b">
        <v>1</v>
      </c>
      <c r="Q11" s="21" t="b">
        <v>1</v>
      </c>
      <c r="R11" s="21" t="b">
        <v>1</v>
      </c>
      <c r="S11" s="21" t="b">
        <v>1</v>
      </c>
      <c r="T11" s="21" t="b">
        <v>1</v>
      </c>
      <c r="U11" s="21" t="b">
        <v>1</v>
      </c>
      <c r="V11" s="21" t="b">
        <v>0</v>
      </c>
      <c r="W11" s="21" t="b">
        <v>0</v>
      </c>
      <c r="X11" s="21" t="b">
        <v>0</v>
      </c>
      <c r="Y11" s="21" t="b">
        <v>1</v>
      </c>
      <c r="Z11" s="21" t="b">
        <v>1</v>
      </c>
      <c r="AA11" s="21" t="b">
        <v>0</v>
      </c>
    </row>
    <row r="12">
      <c r="A12" s="27" t="s">
        <v>59</v>
      </c>
      <c r="B12" s="29">
        <f t="shared" si="1"/>
        <v>1</v>
      </c>
      <c r="C12" s="29">
        <f t="shared" si="2"/>
        <v>0.7391304348</v>
      </c>
      <c r="D12" s="21" t="s">
        <v>31</v>
      </c>
      <c r="E12" s="21" t="b">
        <v>1</v>
      </c>
      <c r="F12" s="21" t="b">
        <v>1</v>
      </c>
      <c r="G12" s="21" t="b">
        <v>1</v>
      </c>
      <c r="H12" s="21" t="b">
        <v>1</v>
      </c>
      <c r="I12" s="21" t="b">
        <v>1</v>
      </c>
      <c r="J12" s="21" t="b">
        <v>1</v>
      </c>
      <c r="K12" s="21" t="b">
        <v>1</v>
      </c>
      <c r="L12" s="21" t="b">
        <v>1</v>
      </c>
      <c r="M12" s="21" t="b">
        <v>1</v>
      </c>
      <c r="N12" s="21" t="b">
        <v>1</v>
      </c>
      <c r="O12" s="21" t="b">
        <v>1</v>
      </c>
      <c r="P12" s="21" t="b">
        <v>1</v>
      </c>
      <c r="Q12" s="21" t="b">
        <v>1</v>
      </c>
      <c r="R12" s="21" t="b">
        <v>1</v>
      </c>
      <c r="S12" s="21" t="b">
        <v>1</v>
      </c>
      <c r="T12" s="21" t="b">
        <v>1</v>
      </c>
      <c r="U12" s="21" t="b">
        <v>0</v>
      </c>
      <c r="V12" s="21" t="b">
        <v>0</v>
      </c>
      <c r="W12" s="21" t="b">
        <v>0</v>
      </c>
      <c r="X12" s="21" t="b">
        <v>0</v>
      </c>
      <c r="Y12" s="21" t="b">
        <v>1</v>
      </c>
      <c r="Z12" s="21" t="b">
        <v>0</v>
      </c>
      <c r="AA12" s="21" t="b">
        <v>0</v>
      </c>
    </row>
    <row r="13">
      <c r="A13" s="27" t="s">
        <v>60</v>
      </c>
      <c r="B13" s="29">
        <f t="shared" si="1"/>
        <v>1</v>
      </c>
      <c r="C13" s="29">
        <f t="shared" si="2"/>
        <v>0.6956521739</v>
      </c>
      <c r="D13" s="21" t="s">
        <v>31</v>
      </c>
      <c r="E13" s="21" t="b">
        <v>1</v>
      </c>
      <c r="F13" s="21" t="b">
        <v>1</v>
      </c>
      <c r="G13" s="21" t="b">
        <v>1</v>
      </c>
      <c r="H13" s="21" t="b">
        <v>1</v>
      </c>
      <c r="I13" s="21" t="b">
        <v>1</v>
      </c>
      <c r="J13" s="21" t="b">
        <v>1</v>
      </c>
      <c r="K13" s="21" t="b">
        <v>1</v>
      </c>
      <c r="L13" s="21" t="b">
        <v>1</v>
      </c>
      <c r="M13" s="21" t="b">
        <v>1</v>
      </c>
      <c r="N13" s="21" t="b">
        <v>1</v>
      </c>
      <c r="O13" s="21" t="b">
        <v>1</v>
      </c>
      <c r="P13" s="21" t="b">
        <v>1</v>
      </c>
      <c r="Q13" s="21" t="b">
        <v>1</v>
      </c>
      <c r="R13" s="21" t="b">
        <v>1</v>
      </c>
      <c r="S13" s="21" t="b">
        <v>0</v>
      </c>
      <c r="T13" s="21" t="b">
        <v>0</v>
      </c>
      <c r="U13" s="21" t="b">
        <v>0</v>
      </c>
      <c r="V13" s="21" t="b">
        <v>0</v>
      </c>
      <c r="W13" s="21" t="b">
        <v>1</v>
      </c>
      <c r="X13" s="21" t="b">
        <v>0</v>
      </c>
      <c r="Y13" s="21" t="b">
        <v>1</v>
      </c>
      <c r="Z13" s="21" t="b">
        <v>0</v>
      </c>
      <c r="AA13" s="21" t="b">
        <v>0</v>
      </c>
    </row>
    <row r="14">
      <c r="A14" s="27" t="s">
        <v>61</v>
      </c>
      <c r="B14" s="29">
        <f t="shared" si="1"/>
        <v>1</v>
      </c>
      <c r="C14" s="29">
        <f t="shared" si="2"/>
        <v>0.8260869565</v>
      </c>
      <c r="D14" s="21" t="s">
        <v>31</v>
      </c>
      <c r="E14" s="21" t="b">
        <v>1</v>
      </c>
      <c r="F14" s="21" t="b">
        <v>1</v>
      </c>
      <c r="G14" s="21" t="b">
        <v>1</v>
      </c>
      <c r="H14" s="21" t="b">
        <v>1</v>
      </c>
      <c r="I14" s="21" t="b">
        <v>1</v>
      </c>
      <c r="J14" s="21" t="b">
        <v>1</v>
      </c>
      <c r="K14" s="21" t="b">
        <v>1</v>
      </c>
      <c r="L14" s="21" t="b">
        <v>1</v>
      </c>
      <c r="M14" s="21" t="b">
        <v>1</v>
      </c>
      <c r="N14" s="21" t="b">
        <v>1</v>
      </c>
      <c r="O14" s="21" t="b">
        <v>1</v>
      </c>
      <c r="P14" s="21" t="b">
        <v>1</v>
      </c>
      <c r="Q14" s="21" t="b">
        <v>1</v>
      </c>
      <c r="R14" s="21" t="b">
        <v>1</v>
      </c>
      <c r="S14" s="21" t="b">
        <v>1</v>
      </c>
      <c r="T14" s="21" t="b">
        <v>1</v>
      </c>
      <c r="U14" s="21" t="b">
        <v>1</v>
      </c>
      <c r="V14" s="21" t="b">
        <v>1</v>
      </c>
      <c r="W14" s="21" t="b">
        <v>0</v>
      </c>
      <c r="X14" s="21" t="b">
        <v>0</v>
      </c>
      <c r="Y14" s="21" t="b">
        <v>1</v>
      </c>
      <c r="Z14" s="21" t="b">
        <v>0</v>
      </c>
      <c r="AA14" s="21" t="b">
        <v>0</v>
      </c>
    </row>
    <row r="15">
      <c r="A15" s="26" t="s">
        <v>62</v>
      </c>
      <c r="B15" s="29">
        <f t="shared" si="1"/>
        <v>0.6666666667</v>
      </c>
      <c r="C15" s="29">
        <f t="shared" si="2"/>
        <v>0.4782608696</v>
      </c>
      <c r="D15" s="29"/>
      <c r="E15" s="21" t="b">
        <v>1</v>
      </c>
      <c r="F15" s="21" t="b">
        <v>1</v>
      </c>
      <c r="G15" s="21" t="b">
        <v>0</v>
      </c>
      <c r="H15" s="21" t="b">
        <v>0</v>
      </c>
      <c r="I15" s="21" t="b">
        <v>0</v>
      </c>
      <c r="J15" s="21" t="b">
        <v>1</v>
      </c>
      <c r="K15" s="21" t="b">
        <v>0</v>
      </c>
      <c r="L15" s="21" t="b">
        <v>1</v>
      </c>
      <c r="M15" s="21" t="b">
        <v>1</v>
      </c>
      <c r="N15" s="21" t="b">
        <v>1</v>
      </c>
      <c r="O15" s="21" t="b">
        <v>1</v>
      </c>
      <c r="P15" s="21" t="b">
        <v>1</v>
      </c>
      <c r="Q15" s="21" t="b">
        <v>1</v>
      </c>
      <c r="R15" s="21" t="b">
        <v>1</v>
      </c>
      <c r="S15" s="21" t="b">
        <v>0</v>
      </c>
      <c r="T15" s="21" t="b">
        <v>0</v>
      </c>
      <c r="U15" s="21" t="b">
        <v>0</v>
      </c>
      <c r="V15" s="21" t="b">
        <v>0</v>
      </c>
      <c r="W15" s="21" t="b">
        <v>0</v>
      </c>
      <c r="X15" s="21" t="b">
        <v>0</v>
      </c>
      <c r="Y15" s="21" t="b">
        <v>1</v>
      </c>
      <c r="Z15" s="21" t="b">
        <v>0</v>
      </c>
      <c r="AA15" s="21" t="b">
        <v>0</v>
      </c>
    </row>
    <row r="16">
      <c r="A16" s="27" t="s">
        <v>63</v>
      </c>
      <c r="B16" s="29">
        <f t="shared" si="1"/>
        <v>1</v>
      </c>
      <c r="C16" s="29">
        <f t="shared" si="2"/>
        <v>0.7391304348</v>
      </c>
      <c r="D16" s="21" t="s">
        <v>31</v>
      </c>
      <c r="E16" s="21" t="b">
        <v>1</v>
      </c>
      <c r="F16" s="21" t="b">
        <v>1</v>
      </c>
      <c r="G16" s="21" t="b">
        <v>1</v>
      </c>
      <c r="H16" s="21" t="b">
        <v>1</v>
      </c>
      <c r="I16" s="21" t="b">
        <v>1</v>
      </c>
      <c r="J16" s="21" t="b">
        <v>1</v>
      </c>
      <c r="K16" s="21" t="b">
        <v>1</v>
      </c>
      <c r="L16" s="21" t="b">
        <v>1</v>
      </c>
      <c r="M16" s="21" t="b">
        <v>1</v>
      </c>
      <c r="N16" s="21" t="b">
        <v>1</v>
      </c>
      <c r="O16" s="21" t="b">
        <v>1</v>
      </c>
      <c r="P16" s="21" t="b">
        <v>1</v>
      </c>
      <c r="Q16" s="21" t="b">
        <v>1</v>
      </c>
      <c r="R16" s="21" t="b">
        <v>1</v>
      </c>
      <c r="S16" s="21" t="b">
        <v>0</v>
      </c>
      <c r="T16" s="21" t="b">
        <v>0</v>
      </c>
      <c r="U16" s="21" t="b">
        <v>0</v>
      </c>
      <c r="V16" s="21" t="b">
        <v>1</v>
      </c>
      <c r="W16" s="21" t="b">
        <v>1</v>
      </c>
      <c r="X16" s="21" t="b">
        <v>0</v>
      </c>
      <c r="Y16" s="21" t="b">
        <v>1</v>
      </c>
      <c r="Z16" s="21" t="b">
        <v>0</v>
      </c>
      <c r="AA16" s="21" t="b">
        <v>0</v>
      </c>
    </row>
    <row r="17">
      <c r="A17" s="10" t="s">
        <v>64</v>
      </c>
      <c r="B17" s="40"/>
      <c r="C17" s="41"/>
      <c r="D17" s="41"/>
      <c r="E17" s="42">
        <f t="shared" ref="E17:AA17" si="3">COUNTIF(E2:E16, TRUE)</f>
        <v>15</v>
      </c>
      <c r="F17" s="42">
        <f t="shared" si="3"/>
        <v>15</v>
      </c>
      <c r="G17" s="42">
        <f t="shared" si="3"/>
        <v>11</v>
      </c>
      <c r="H17" s="42">
        <f t="shared" si="3"/>
        <v>12</v>
      </c>
      <c r="I17" s="42">
        <f t="shared" si="3"/>
        <v>11</v>
      </c>
      <c r="J17" s="42">
        <f t="shared" si="3"/>
        <v>15</v>
      </c>
      <c r="K17" s="42">
        <f t="shared" si="3"/>
        <v>14</v>
      </c>
      <c r="L17" s="42">
        <f t="shared" si="3"/>
        <v>15</v>
      </c>
      <c r="M17" s="42">
        <f t="shared" si="3"/>
        <v>15</v>
      </c>
      <c r="N17" s="42">
        <f t="shared" si="3"/>
        <v>14</v>
      </c>
      <c r="O17" s="42">
        <f t="shared" si="3"/>
        <v>15</v>
      </c>
      <c r="P17" s="42">
        <f t="shared" si="3"/>
        <v>15</v>
      </c>
      <c r="Q17" s="42">
        <f t="shared" si="3"/>
        <v>15</v>
      </c>
      <c r="R17" s="42">
        <f t="shared" si="3"/>
        <v>13</v>
      </c>
      <c r="S17" s="42">
        <f t="shared" si="3"/>
        <v>8</v>
      </c>
      <c r="T17" s="42">
        <f t="shared" si="3"/>
        <v>8</v>
      </c>
      <c r="U17" s="42">
        <f t="shared" si="3"/>
        <v>6</v>
      </c>
      <c r="V17" s="42">
        <f t="shared" si="3"/>
        <v>3</v>
      </c>
      <c r="W17" s="42">
        <f t="shared" si="3"/>
        <v>6</v>
      </c>
      <c r="X17" s="42">
        <f t="shared" si="3"/>
        <v>0</v>
      </c>
      <c r="Y17" s="42">
        <f t="shared" si="3"/>
        <v>15</v>
      </c>
      <c r="Z17" s="42">
        <f t="shared" si="3"/>
        <v>1</v>
      </c>
      <c r="AA17" s="42">
        <f t="shared" si="3"/>
        <v>0</v>
      </c>
    </row>
    <row r="18">
      <c r="B18" s="40"/>
      <c r="C18" s="40"/>
      <c r="D18" s="40"/>
    </row>
    <row r="19">
      <c r="B19" s="40"/>
      <c r="C19" s="40"/>
      <c r="D19" s="40"/>
      <c r="I19" s="43"/>
    </row>
    <row r="20">
      <c r="B20" s="40"/>
      <c r="C20" s="40"/>
      <c r="D20" s="40"/>
    </row>
    <row r="21">
      <c r="B21" s="40"/>
      <c r="C21" s="40"/>
      <c r="D21" s="40"/>
      <c r="E21" s="32" t="s">
        <v>65</v>
      </c>
    </row>
    <row r="22">
      <c r="B22" s="40"/>
      <c r="C22" s="40"/>
      <c r="D22" s="40"/>
      <c r="E22" s="34" t="s">
        <v>66</v>
      </c>
    </row>
    <row r="23">
      <c r="B23" s="40"/>
      <c r="C23" s="40"/>
      <c r="D23" s="40"/>
      <c r="E23" s="36" t="s">
        <v>28</v>
      </c>
    </row>
    <row r="24">
      <c r="B24" s="40"/>
      <c r="C24" s="40"/>
      <c r="D24" s="40"/>
      <c r="E24" s="37" t="s">
        <v>68</v>
      </c>
    </row>
    <row r="25">
      <c r="B25" s="40"/>
      <c r="C25" s="40"/>
      <c r="D25" s="40"/>
      <c r="E25" s="33"/>
    </row>
    <row r="26">
      <c r="B26" s="40"/>
      <c r="C26" s="40"/>
      <c r="D26" s="40"/>
      <c r="E26" s="31"/>
    </row>
    <row r="27">
      <c r="B27" s="40"/>
      <c r="C27" s="40"/>
      <c r="D27" s="40"/>
      <c r="E27" s="33"/>
    </row>
    <row r="28">
      <c r="B28" s="40"/>
      <c r="C28" s="40"/>
      <c r="D28" s="40"/>
      <c r="E28" s="31"/>
    </row>
    <row r="29">
      <c r="B29" s="40"/>
      <c r="C29" s="40"/>
      <c r="D29" s="40"/>
      <c r="E29" s="31"/>
    </row>
    <row r="30">
      <c r="B30" s="40"/>
      <c r="C30" s="40"/>
      <c r="D30" s="40"/>
      <c r="E30" s="33"/>
    </row>
    <row r="31">
      <c r="B31" s="40"/>
      <c r="C31" s="40"/>
      <c r="D31" s="40"/>
      <c r="E31" s="33"/>
    </row>
    <row r="32">
      <c r="B32" s="40"/>
      <c r="C32" s="40"/>
      <c r="D32" s="40"/>
      <c r="E32" s="31"/>
    </row>
    <row r="33">
      <c r="B33" s="40"/>
      <c r="C33" s="40"/>
      <c r="D33" s="40"/>
      <c r="E33" s="31"/>
    </row>
    <row r="34">
      <c r="B34" s="40"/>
      <c r="C34" s="40"/>
      <c r="D34" s="40"/>
      <c r="E34" s="31"/>
    </row>
    <row r="35">
      <c r="B35" s="40"/>
      <c r="C35" s="40"/>
      <c r="D35" s="40"/>
      <c r="E35" s="33"/>
    </row>
    <row r="36">
      <c r="B36" s="40"/>
      <c r="C36" s="40"/>
      <c r="D36" s="40"/>
      <c r="E36" s="31"/>
    </row>
    <row r="37">
      <c r="B37" s="40"/>
      <c r="C37" s="40"/>
      <c r="D37" s="40"/>
    </row>
    <row r="38">
      <c r="B38" s="40"/>
      <c r="C38" s="40"/>
      <c r="D38" s="40"/>
    </row>
    <row r="39">
      <c r="B39" s="40"/>
      <c r="C39" s="40"/>
      <c r="D39" s="40"/>
    </row>
    <row r="40">
      <c r="B40" s="40"/>
      <c r="C40" s="40"/>
      <c r="D40" s="40"/>
    </row>
    <row r="41">
      <c r="B41" s="40"/>
      <c r="C41" s="40"/>
      <c r="D41" s="40"/>
    </row>
    <row r="42">
      <c r="B42" s="40"/>
      <c r="C42" s="40"/>
      <c r="D42" s="40"/>
    </row>
    <row r="43">
      <c r="B43" s="40"/>
      <c r="C43" s="40"/>
      <c r="D43" s="40"/>
    </row>
    <row r="44">
      <c r="B44" s="40"/>
      <c r="C44" s="40"/>
      <c r="D44" s="40"/>
    </row>
    <row r="45">
      <c r="B45" s="40"/>
      <c r="C45" s="40"/>
      <c r="D45" s="40"/>
    </row>
    <row r="46">
      <c r="B46" s="40"/>
      <c r="C46" s="40"/>
      <c r="D46" s="40"/>
    </row>
    <row r="47">
      <c r="B47" s="40"/>
      <c r="C47" s="40"/>
      <c r="D47" s="40"/>
    </row>
    <row r="48">
      <c r="B48" s="40"/>
      <c r="C48" s="40"/>
      <c r="D48" s="40"/>
    </row>
    <row r="49">
      <c r="B49" s="40"/>
      <c r="C49" s="40"/>
      <c r="D49" s="40"/>
    </row>
    <row r="50">
      <c r="B50" s="40"/>
      <c r="C50" s="40"/>
      <c r="D50" s="40"/>
    </row>
    <row r="51">
      <c r="B51" s="40"/>
      <c r="C51" s="40"/>
      <c r="D51" s="40"/>
    </row>
    <row r="52">
      <c r="B52" s="40"/>
      <c r="C52" s="40"/>
      <c r="D52" s="40"/>
    </row>
    <row r="53">
      <c r="B53" s="40"/>
      <c r="C53" s="40"/>
      <c r="D53" s="40"/>
    </row>
    <row r="54">
      <c r="B54" s="40"/>
      <c r="C54" s="40"/>
      <c r="D54" s="40"/>
    </row>
    <row r="55">
      <c r="B55" s="40"/>
      <c r="C55" s="40"/>
      <c r="D55" s="40"/>
    </row>
    <row r="56">
      <c r="B56" s="40"/>
      <c r="C56" s="40"/>
      <c r="D56" s="40"/>
    </row>
    <row r="57">
      <c r="B57" s="40"/>
      <c r="C57" s="40"/>
      <c r="D57" s="40"/>
    </row>
    <row r="58">
      <c r="B58" s="40"/>
      <c r="C58" s="40"/>
      <c r="D58" s="40"/>
    </row>
    <row r="59">
      <c r="B59" s="40"/>
      <c r="C59" s="40"/>
      <c r="D59" s="40"/>
    </row>
    <row r="60">
      <c r="B60" s="40"/>
      <c r="C60" s="40"/>
      <c r="D60" s="40"/>
    </row>
    <row r="61">
      <c r="B61" s="40"/>
      <c r="C61" s="40"/>
      <c r="D61" s="40"/>
    </row>
    <row r="62">
      <c r="B62" s="40"/>
      <c r="C62" s="40"/>
      <c r="D62" s="40"/>
    </row>
    <row r="63">
      <c r="B63" s="40"/>
      <c r="C63" s="40"/>
      <c r="D63" s="40"/>
    </row>
    <row r="64">
      <c r="B64" s="40"/>
      <c r="C64" s="40"/>
      <c r="D64" s="40"/>
    </row>
    <row r="65">
      <c r="B65" s="40"/>
      <c r="C65" s="40"/>
      <c r="D65" s="40"/>
    </row>
    <row r="66">
      <c r="B66" s="40"/>
      <c r="C66" s="40"/>
      <c r="D66" s="40"/>
    </row>
    <row r="67">
      <c r="B67" s="40"/>
      <c r="C67" s="40"/>
      <c r="D67" s="40"/>
    </row>
    <row r="68">
      <c r="B68" s="40"/>
      <c r="C68" s="40"/>
      <c r="D68" s="40"/>
    </row>
    <row r="69">
      <c r="B69" s="40"/>
      <c r="C69" s="40"/>
      <c r="D69" s="40"/>
    </row>
    <row r="70">
      <c r="B70" s="40"/>
      <c r="C70" s="40"/>
      <c r="D70" s="40"/>
    </row>
    <row r="71">
      <c r="B71" s="40"/>
      <c r="C71" s="40"/>
      <c r="D71" s="40"/>
    </row>
    <row r="72">
      <c r="B72" s="40"/>
      <c r="C72" s="40"/>
      <c r="D72" s="40"/>
    </row>
    <row r="73">
      <c r="B73" s="40"/>
      <c r="C73" s="40"/>
      <c r="D73" s="40"/>
    </row>
    <row r="74">
      <c r="B74" s="40"/>
      <c r="C74" s="40"/>
      <c r="D74" s="40"/>
    </row>
    <row r="75">
      <c r="B75" s="40"/>
      <c r="C75" s="40"/>
      <c r="D75" s="40"/>
    </row>
    <row r="76">
      <c r="B76" s="40"/>
      <c r="C76" s="40"/>
      <c r="D76" s="40"/>
    </row>
    <row r="77">
      <c r="B77" s="40"/>
      <c r="C77" s="40"/>
      <c r="D77" s="40"/>
    </row>
    <row r="78">
      <c r="B78" s="40"/>
      <c r="C78" s="40"/>
      <c r="D78" s="40"/>
    </row>
    <row r="79">
      <c r="B79" s="40"/>
      <c r="C79" s="40"/>
      <c r="D79" s="40"/>
    </row>
    <row r="80">
      <c r="B80" s="40"/>
      <c r="C80" s="40"/>
      <c r="D80" s="40"/>
    </row>
    <row r="81">
      <c r="B81" s="40"/>
      <c r="C81" s="40"/>
      <c r="D81" s="40"/>
    </row>
    <row r="82">
      <c r="B82" s="40"/>
      <c r="C82" s="40"/>
      <c r="D82" s="40"/>
    </row>
    <row r="83">
      <c r="B83" s="40"/>
      <c r="C83" s="40"/>
      <c r="D83" s="40"/>
    </row>
    <row r="84">
      <c r="B84" s="40"/>
      <c r="C84" s="40"/>
      <c r="D84" s="40"/>
    </row>
    <row r="85">
      <c r="B85" s="40"/>
      <c r="C85" s="40"/>
      <c r="D85" s="40"/>
    </row>
    <row r="86">
      <c r="B86" s="40"/>
      <c r="C86" s="40"/>
      <c r="D86" s="40"/>
    </row>
    <row r="87">
      <c r="B87" s="40"/>
      <c r="C87" s="40"/>
      <c r="D87" s="40"/>
    </row>
    <row r="88">
      <c r="B88" s="40"/>
      <c r="C88" s="40"/>
      <c r="D88" s="40"/>
    </row>
    <row r="89">
      <c r="B89" s="40"/>
      <c r="C89" s="40"/>
      <c r="D89" s="40"/>
    </row>
    <row r="90">
      <c r="B90" s="40"/>
      <c r="C90" s="40"/>
      <c r="D90" s="40"/>
    </row>
    <row r="91">
      <c r="B91" s="40"/>
      <c r="C91" s="40"/>
      <c r="D91" s="40"/>
    </row>
    <row r="92">
      <c r="B92" s="40"/>
      <c r="C92" s="40"/>
      <c r="D92" s="40"/>
    </row>
    <row r="93">
      <c r="B93" s="40"/>
      <c r="C93" s="40"/>
      <c r="D93" s="40"/>
    </row>
    <row r="94">
      <c r="B94" s="40"/>
      <c r="C94" s="40"/>
      <c r="D94" s="40"/>
    </row>
    <row r="95">
      <c r="B95" s="40"/>
      <c r="C95" s="40"/>
      <c r="D95" s="40"/>
    </row>
    <row r="96">
      <c r="B96" s="40"/>
      <c r="C96" s="40"/>
      <c r="D96" s="40"/>
    </row>
    <row r="97">
      <c r="B97" s="40"/>
      <c r="C97" s="40"/>
      <c r="D97" s="40"/>
    </row>
    <row r="98">
      <c r="B98" s="40"/>
      <c r="C98" s="40"/>
      <c r="D98" s="40"/>
    </row>
    <row r="99">
      <c r="B99" s="40"/>
      <c r="C99" s="40"/>
      <c r="D99" s="40"/>
    </row>
    <row r="100">
      <c r="B100" s="40"/>
      <c r="C100" s="40"/>
      <c r="D100" s="40"/>
    </row>
    <row r="101">
      <c r="B101" s="40"/>
      <c r="C101" s="40"/>
      <c r="D101" s="40"/>
    </row>
    <row r="102">
      <c r="B102" s="40"/>
      <c r="C102" s="40"/>
      <c r="D102" s="40"/>
    </row>
    <row r="103">
      <c r="B103" s="40"/>
      <c r="C103" s="40"/>
      <c r="D103" s="40"/>
    </row>
    <row r="104">
      <c r="B104" s="40"/>
      <c r="C104" s="40"/>
      <c r="D104" s="40"/>
    </row>
    <row r="105">
      <c r="B105" s="40"/>
      <c r="C105" s="40"/>
      <c r="D105" s="40"/>
    </row>
    <row r="106">
      <c r="B106" s="40"/>
      <c r="C106" s="40"/>
      <c r="D106" s="40"/>
    </row>
    <row r="107">
      <c r="B107" s="40"/>
      <c r="C107" s="40"/>
      <c r="D107" s="40"/>
    </row>
    <row r="108">
      <c r="B108" s="40"/>
      <c r="C108" s="40"/>
      <c r="D108" s="40"/>
    </row>
    <row r="109">
      <c r="B109" s="40"/>
      <c r="C109" s="40"/>
      <c r="D109" s="40"/>
    </row>
    <row r="110">
      <c r="B110" s="40"/>
      <c r="C110" s="40"/>
      <c r="D110" s="40"/>
    </row>
    <row r="111">
      <c r="B111" s="40"/>
      <c r="C111" s="40"/>
      <c r="D111" s="40"/>
    </row>
    <row r="112">
      <c r="B112" s="40"/>
      <c r="C112" s="40"/>
      <c r="D112" s="40"/>
    </row>
    <row r="113">
      <c r="B113" s="40"/>
      <c r="C113" s="40"/>
      <c r="D113" s="40"/>
    </row>
    <row r="114">
      <c r="B114" s="40"/>
      <c r="C114" s="40"/>
      <c r="D114" s="40"/>
    </row>
    <row r="115">
      <c r="B115" s="40"/>
      <c r="C115" s="40"/>
      <c r="D115" s="40"/>
    </row>
    <row r="116">
      <c r="B116" s="40"/>
      <c r="C116" s="40"/>
      <c r="D116" s="40"/>
    </row>
    <row r="117">
      <c r="B117" s="40"/>
      <c r="C117" s="40"/>
      <c r="D117" s="40"/>
    </row>
    <row r="118">
      <c r="B118" s="40"/>
      <c r="C118" s="40"/>
      <c r="D118" s="40"/>
    </row>
    <row r="119">
      <c r="B119" s="40"/>
      <c r="C119" s="40"/>
      <c r="D119" s="40"/>
    </row>
    <row r="120">
      <c r="B120" s="40"/>
      <c r="C120" s="40"/>
      <c r="D120" s="40"/>
    </row>
    <row r="121">
      <c r="B121" s="40"/>
      <c r="C121" s="40"/>
      <c r="D121" s="40"/>
    </row>
    <row r="122">
      <c r="B122" s="40"/>
      <c r="C122" s="40"/>
      <c r="D122" s="40"/>
    </row>
    <row r="123">
      <c r="B123" s="40"/>
      <c r="C123" s="40"/>
      <c r="D123" s="40"/>
    </row>
    <row r="124">
      <c r="B124" s="40"/>
      <c r="C124" s="40"/>
      <c r="D124" s="40"/>
    </row>
    <row r="125">
      <c r="B125" s="40"/>
      <c r="C125" s="40"/>
      <c r="D125" s="40"/>
    </row>
    <row r="126">
      <c r="B126" s="40"/>
      <c r="C126" s="40"/>
      <c r="D126" s="40"/>
    </row>
    <row r="127">
      <c r="B127" s="40"/>
      <c r="C127" s="40"/>
      <c r="D127" s="40"/>
    </row>
    <row r="128">
      <c r="B128" s="40"/>
      <c r="C128" s="40"/>
      <c r="D128" s="40"/>
    </row>
    <row r="129">
      <c r="B129" s="40"/>
      <c r="C129" s="40"/>
      <c r="D129" s="40"/>
    </row>
    <row r="130">
      <c r="B130" s="40"/>
      <c r="C130" s="40"/>
      <c r="D130" s="40"/>
    </row>
    <row r="131">
      <c r="B131" s="40"/>
      <c r="C131" s="40"/>
      <c r="D131" s="40"/>
    </row>
    <row r="132">
      <c r="B132" s="40"/>
      <c r="C132" s="40"/>
      <c r="D132" s="40"/>
    </row>
    <row r="133">
      <c r="B133" s="40"/>
      <c r="C133" s="40"/>
      <c r="D133" s="40"/>
    </row>
    <row r="134">
      <c r="B134" s="40"/>
      <c r="C134" s="40"/>
      <c r="D134" s="40"/>
    </row>
    <row r="135">
      <c r="B135" s="40"/>
      <c r="C135" s="40"/>
      <c r="D135" s="40"/>
    </row>
    <row r="136">
      <c r="B136" s="40"/>
      <c r="C136" s="40"/>
      <c r="D136" s="40"/>
    </row>
    <row r="137">
      <c r="B137" s="40"/>
      <c r="C137" s="40"/>
      <c r="D137" s="40"/>
    </row>
    <row r="138">
      <c r="B138" s="40"/>
      <c r="C138" s="40"/>
      <c r="D138" s="40"/>
    </row>
    <row r="139">
      <c r="B139" s="40"/>
      <c r="C139" s="40"/>
      <c r="D139" s="40"/>
    </row>
    <row r="140">
      <c r="B140" s="40"/>
      <c r="C140" s="40"/>
      <c r="D140" s="40"/>
    </row>
    <row r="141">
      <c r="B141" s="40"/>
      <c r="C141" s="40"/>
      <c r="D141" s="40"/>
    </row>
    <row r="142">
      <c r="B142" s="40"/>
      <c r="C142" s="40"/>
      <c r="D142" s="40"/>
    </row>
    <row r="143">
      <c r="B143" s="40"/>
      <c r="C143" s="40"/>
      <c r="D143" s="40"/>
    </row>
    <row r="144">
      <c r="B144" s="40"/>
      <c r="C144" s="40"/>
      <c r="D144" s="40"/>
    </row>
    <row r="145">
      <c r="B145" s="40"/>
      <c r="C145" s="40"/>
      <c r="D145" s="40"/>
    </row>
    <row r="146">
      <c r="B146" s="40"/>
      <c r="C146" s="40"/>
      <c r="D146" s="40"/>
    </row>
    <row r="147">
      <c r="B147" s="40"/>
      <c r="C147" s="40"/>
      <c r="D147" s="40"/>
    </row>
    <row r="148">
      <c r="B148" s="40"/>
      <c r="C148" s="40"/>
      <c r="D148" s="40"/>
    </row>
    <row r="149">
      <c r="B149" s="40"/>
      <c r="C149" s="40"/>
      <c r="D149" s="40"/>
    </row>
    <row r="150">
      <c r="B150" s="40"/>
      <c r="C150" s="40"/>
      <c r="D150" s="40"/>
    </row>
    <row r="151">
      <c r="B151" s="40"/>
      <c r="C151" s="40"/>
      <c r="D151" s="40"/>
    </row>
    <row r="152">
      <c r="B152" s="40"/>
      <c r="C152" s="40"/>
      <c r="D152" s="40"/>
    </row>
    <row r="153">
      <c r="B153" s="40"/>
      <c r="C153" s="40"/>
      <c r="D153" s="40"/>
    </row>
    <row r="154">
      <c r="B154" s="40"/>
      <c r="C154" s="40"/>
      <c r="D154" s="40"/>
    </row>
    <row r="155">
      <c r="B155" s="40"/>
      <c r="C155" s="40"/>
      <c r="D155" s="40"/>
    </row>
    <row r="156">
      <c r="B156" s="40"/>
      <c r="C156" s="40"/>
      <c r="D156" s="40"/>
    </row>
    <row r="157">
      <c r="B157" s="40"/>
      <c r="C157" s="40"/>
      <c r="D157" s="40"/>
    </row>
    <row r="158">
      <c r="B158" s="40"/>
      <c r="C158" s="40"/>
      <c r="D158" s="40"/>
    </row>
    <row r="159">
      <c r="B159" s="40"/>
      <c r="C159" s="40"/>
      <c r="D159" s="40"/>
    </row>
    <row r="160">
      <c r="B160" s="40"/>
      <c r="C160" s="40"/>
      <c r="D160" s="40"/>
    </row>
    <row r="161">
      <c r="B161" s="40"/>
      <c r="C161" s="40"/>
      <c r="D161" s="40"/>
    </row>
    <row r="162">
      <c r="B162" s="40"/>
      <c r="C162" s="40"/>
      <c r="D162" s="40"/>
    </row>
    <row r="163">
      <c r="B163" s="40"/>
      <c r="C163" s="40"/>
      <c r="D163" s="40"/>
    </row>
    <row r="164">
      <c r="B164" s="40"/>
      <c r="C164" s="40"/>
      <c r="D164" s="40"/>
    </row>
    <row r="165">
      <c r="B165" s="40"/>
      <c r="C165" s="40"/>
      <c r="D165" s="40"/>
    </row>
    <row r="166">
      <c r="B166" s="40"/>
      <c r="C166" s="40"/>
      <c r="D166" s="40"/>
    </row>
    <row r="167">
      <c r="B167" s="40"/>
      <c r="C167" s="40"/>
      <c r="D167" s="40"/>
    </row>
    <row r="168">
      <c r="B168" s="40"/>
      <c r="C168" s="40"/>
      <c r="D168" s="40"/>
    </row>
    <row r="169">
      <c r="B169" s="40"/>
      <c r="C169" s="40"/>
      <c r="D169" s="40"/>
    </row>
    <row r="170">
      <c r="B170" s="40"/>
      <c r="C170" s="40"/>
      <c r="D170" s="40"/>
    </row>
    <row r="171">
      <c r="B171" s="40"/>
      <c r="C171" s="40"/>
      <c r="D171" s="40"/>
    </row>
    <row r="172">
      <c r="B172" s="40"/>
      <c r="C172" s="40"/>
      <c r="D172" s="40"/>
    </row>
    <row r="173">
      <c r="B173" s="40"/>
      <c r="C173" s="40"/>
      <c r="D173" s="40"/>
    </row>
    <row r="174">
      <c r="B174" s="40"/>
      <c r="C174" s="40"/>
      <c r="D174" s="40"/>
    </row>
    <row r="175">
      <c r="B175" s="40"/>
      <c r="C175" s="40"/>
      <c r="D175" s="40"/>
    </row>
    <row r="176">
      <c r="B176" s="40"/>
      <c r="C176" s="40"/>
      <c r="D176" s="40"/>
    </row>
    <row r="177">
      <c r="B177" s="40"/>
      <c r="C177" s="40"/>
      <c r="D177" s="40"/>
    </row>
    <row r="178">
      <c r="B178" s="40"/>
      <c r="C178" s="40"/>
      <c r="D178" s="40"/>
    </row>
    <row r="179">
      <c r="B179" s="40"/>
      <c r="C179" s="40"/>
      <c r="D179" s="40"/>
    </row>
    <row r="180">
      <c r="B180" s="40"/>
      <c r="C180" s="40"/>
      <c r="D180" s="40"/>
    </row>
    <row r="181">
      <c r="B181" s="40"/>
      <c r="C181" s="40"/>
      <c r="D181" s="40"/>
    </row>
    <row r="182">
      <c r="B182" s="40"/>
      <c r="C182" s="40"/>
      <c r="D182" s="40"/>
    </row>
    <row r="183">
      <c r="B183" s="40"/>
      <c r="C183" s="40"/>
      <c r="D183" s="40"/>
    </row>
    <row r="184">
      <c r="B184" s="40"/>
      <c r="C184" s="40"/>
      <c r="D184" s="40"/>
    </row>
    <row r="185">
      <c r="B185" s="40"/>
      <c r="C185" s="40"/>
      <c r="D185" s="40"/>
    </row>
    <row r="186">
      <c r="B186" s="40"/>
      <c r="C186" s="40"/>
      <c r="D186" s="40"/>
    </row>
    <row r="187">
      <c r="B187" s="40"/>
      <c r="C187" s="40"/>
      <c r="D187" s="40"/>
    </row>
    <row r="188">
      <c r="B188" s="40"/>
      <c r="C188" s="40"/>
      <c r="D188" s="40"/>
    </row>
    <row r="189">
      <c r="B189" s="40"/>
      <c r="C189" s="40"/>
      <c r="D189" s="40"/>
    </row>
    <row r="190">
      <c r="B190" s="40"/>
      <c r="C190" s="40"/>
      <c r="D190" s="40"/>
    </row>
    <row r="191">
      <c r="B191" s="40"/>
      <c r="C191" s="40"/>
      <c r="D191" s="40"/>
    </row>
    <row r="192">
      <c r="B192" s="40"/>
      <c r="C192" s="40"/>
      <c r="D192" s="40"/>
    </row>
    <row r="193">
      <c r="B193" s="40"/>
      <c r="C193" s="40"/>
      <c r="D193" s="40"/>
    </row>
    <row r="194">
      <c r="B194" s="40"/>
      <c r="C194" s="40"/>
      <c r="D194" s="40"/>
    </row>
    <row r="195">
      <c r="B195" s="40"/>
      <c r="C195" s="40"/>
      <c r="D195" s="40"/>
    </row>
    <row r="196">
      <c r="B196" s="40"/>
      <c r="C196" s="40"/>
      <c r="D196" s="40"/>
    </row>
    <row r="197">
      <c r="B197" s="40"/>
      <c r="C197" s="40"/>
      <c r="D197" s="40"/>
    </row>
    <row r="198">
      <c r="B198" s="40"/>
      <c r="C198" s="40"/>
      <c r="D198" s="40"/>
    </row>
    <row r="199">
      <c r="B199" s="40"/>
      <c r="C199" s="40"/>
      <c r="D199" s="40"/>
    </row>
    <row r="200">
      <c r="B200" s="40"/>
      <c r="C200" s="40"/>
      <c r="D200" s="40"/>
    </row>
    <row r="201">
      <c r="B201" s="40"/>
      <c r="C201" s="40"/>
      <c r="D201" s="40"/>
    </row>
    <row r="202">
      <c r="B202" s="40"/>
      <c r="C202" s="40"/>
      <c r="D202" s="40"/>
    </row>
    <row r="203">
      <c r="B203" s="40"/>
      <c r="C203" s="40"/>
      <c r="D203" s="40"/>
    </row>
    <row r="204">
      <c r="B204" s="40"/>
      <c r="C204" s="40"/>
      <c r="D204" s="40"/>
    </row>
    <row r="205">
      <c r="B205" s="40"/>
      <c r="C205" s="40"/>
      <c r="D205" s="40"/>
    </row>
    <row r="206">
      <c r="B206" s="40"/>
      <c r="C206" s="40"/>
      <c r="D206" s="40"/>
    </row>
    <row r="207">
      <c r="B207" s="40"/>
      <c r="C207" s="40"/>
      <c r="D207" s="40"/>
    </row>
    <row r="208">
      <c r="B208" s="40"/>
      <c r="C208" s="40"/>
      <c r="D208" s="40"/>
    </row>
    <row r="209">
      <c r="B209" s="40"/>
      <c r="C209" s="40"/>
      <c r="D209" s="40"/>
    </row>
    <row r="210">
      <c r="B210" s="40"/>
      <c r="C210" s="40"/>
      <c r="D210" s="40"/>
    </row>
    <row r="211">
      <c r="B211" s="40"/>
      <c r="C211" s="40"/>
      <c r="D211" s="40"/>
    </row>
    <row r="212">
      <c r="B212" s="40"/>
      <c r="C212" s="40"/>
      <c r="D212" s="40"/>
    </row>
    <row r="213">
      <c r="B213" s="40"/>
      <c r="C213" s="40"/>
      <c r="D213" s="40"/>
    </row>
    <row r="214">
      <c r="B214" s="40"/>
      <c r="C214" s="40"/>
      <c r="D214" s="40"/>
    </row>
    <row r="215">
      <c r="B215" s="40"/>
      <c r="C215" s="40"/>
      <c r="D215" s="40"/>
    </row>
    <row r="216">
      <c r="B216" s="40"/>
      <c r="C216" s="40"/>
      <c r="D216" s="40"/>
    </row>
    <row r="217">
      <c r="B217" s="40"/>
      <c r="C217" s="40"/>
      <c r="D217" s="40"/>
    </row>
    <row r="218">
      <c r="B218" s="40"/>
      <c r="C218" s="40"/>
      <c r="D218" s="40"/>
    </row>
    <row r="219">
      <c r="B219" s="40"/>
      <c r="C219" s="40"/>
      <c r="D219" s="40"/>
    </row>
    <row r="220">
      <c r="B220" s="40"/>
      <c r="C220" s="40"/>
      <c r="D220" s="40"/>
    </row>
    <row r="221">
      <c r="B221" s="40"/>
      <c r="C221" s="40"/>
      <c r="D221" s="40"/>
    </row>
    <row r="222">
      <c r="B222" s="40"/>
      <c r="C222" s="40"/>
      <c r="D222" s="40"/>
    </row>
    <row r="223">
      <c r="B223" s="40"/>
      <c r="C223" s="40"/>
      <c r="D223" s="40"/>
    </row>
    <row r="224">
      <c r="B224" s="40"/>
      <c r="C224" s="40"/>
      <c r="D224" s="40"/>
    </row>
    <row r="225">
      <c r="B225" s="40"/>
      <c r="C225" s="40"/>
      <c r="D225" s="40"/>
    </row>
    <row r="226">
      <c r="B226" s="40"/>
      <c r="C226" s="40"/>
      <c r="D226" s="40"/>
    </row>
    <row r="227">
      <c r="B227" s="40"/>
      <c r="C227" s="40"/>
      <c r="D227" s="40"/>
    </row>
    <row r="228">
      <c r="B228" s="40"/>
      <c r="C228" s="40"/>
      <c r="D228" s="40"/>
    </row>
    <row r="229">
      <c r="B229" s="40"/>
      <c r="C229" s="40"/>
      <c r="D229" s="40"/>
    </row>
    <row r="230">
      <c r="B230" s="40"/>
      <c r="C230" s="40"/>
      <c r="D230" s="40"/>
    </row>
    <row r="231">
      <c r="B231" s="40"/>
      <c r="C231" s="40"/>
      <c r="D231" s="40"/>
    </row>
    <row r="232">
      <c r="B232" s="40"/>
      <c r="C232" s="40"/>
      <c r="D232" s="40"/>
    </row>
    <row r="233">
      <c r="B233" s="40"/>
      <c r="C233" s="40"/>
      <c r="D233" s="40"/>
    </row>
    <row r="234">
      <c r="B234" s="40"/>
      <c r="C234" s="40"/>
      <c r="D234" s="40"/>
    </row>
    <row r="235">
      <c r="B235" s="40"/>
      <c r="C235" s="40"/>
      <c r="D235" s="40"/>
    </row>
    <row r="236">
      <c r="B236" s="40"/>
      <c r="C236" s="40"/>
      <c r="D236" s="40"/>
    </row>
    <row r="237">
      <c r="B237" s="40"/>
      <c r="C237" s="40"/>
      <c r="D237" s="40"/>
    </row>
    <row r="238">
      <c r="B238" s="40"/>
      <c r="C238" s="40"/>
      <c r="D238" s="40"/>
    </row>
    <row r="239">
      <c r="B239" s="40"/>
      <c r="C239" s="40"/>
      <c r="D239" s="40"/>
    </row>
    <row r="240">
      <c r="B240" s="40"/>
      <c r="C240" s="40"/>
      <c r="D240" s="40"/>
    </row>
    <row r="241">
      <c r="B241" s="40"/>
      <c r="C241" s="40"/>
      <c r="D241" s="40"/>
    </row>
    <row r="242">
      <c r="B242" s="40"/>
      <c r="C242" s="40"/>
      <c r="D242" s="40"/>
    </row>
    <row r="243">
      <c r="B243" s="40"/>
      <c r="C243" s="40"/>
      <c r="D243" s="40"/>
    </row>
    <row r="244">
      <c r="B244" s="40"/>
      <c r="C244" s="40"/>
      <c r="D244" s="40"/>
    </row>
    <row r="245">
      <c r="B245" s="40"/>
      <c r="C245" s="40"/>
      <c r="D245" s="40"/>
    </row>
    <row r="246">
      <c r="B246" s="40"/>
      <c r="C246" s="40"/>
      <c r="D246" s="40"/>
    </row>
    <row r="247">
      <c r="B247" s="40"/>
      <c r="C247" s="40"/>
      <c r="D247" s="40"/>
    </row>
    <row r="248">
      <c r="B248" s="40"/>
      <c r="C248" s="40"/>
      <c r="D248" s="40"/>
    </row>
    <row r="249">
      <c r="B249" s="40"/>
      <c r="C249" s="40"/>
      <c r="D249" s="40"/>
    </row>
    <row r="250">
      <c r="B250" s="40"/>
      <c r="C250" s="40"/>
      <c r="D250" s="40"/>
    </row>
    <row r="251">
      <c r="B251" s="40"/>
      <c r="C251" s="40"/>
      <c r="D251" s="40"/>
    </row>
    <row r="252">
      <c r="B252" s="40"/>
      <c r="C252" s="40"/>
      <c r="D252" s="40"/>
    </row>
    <row r="253">
      <c r="B253" s="40"/>
      <c r="C253" s="40"/>
      <c r="D253" s="40"/>
    </row>
    <row r="254">
      <c r="B254" s="40"/>
      <c r="C254" s="40"/>
      <c r="D254" s="40"/>
    </row>
    <row r="255">
      <c r="B255" s="40"/>
      <c r="C255" s="40"/>
      <c r="D255" s="40"/>
    </row>
    <row r="256">
      <c r="B256" s="40"/>
      <c r="C256" s="40"/>
      <c r="D256" s="40"/>
    </row>
    <row r="257">
      <c r="B257" s="40"/>
      <c r="C257" s="40"/>
      <c r="D257" s="40"/>
    </row>
    <row r="258">
      <c r="B258" s="40"/>
      <c r="C258" s="40"/>
      <c r="D258" s="40"/>
    </row>
    <row r="259">
      <c r="B259" s="40"/>
      <c r="C259" s="40"/>
      <c r="D259" s="40"/>
    </row>
    <row r="260">
      <c r="B260" s="40"/>
      <c r="C260" s="40"/>
      <c r="D260" s="40"/>
    </row>
    <row r="261">
      <c r="B261" s="40"/>
      <c r="C261" s="40"/>
      <c r="D261" s="40"/>
    </row>
    <row r="262">
      <c r="B262" s="40"/>
      <c r="C262" s="40"/>
      <c r="D262" s="40"/>
    </row>
    <row r="263">
      <c r="B263" s="40"/>
      <c r="C263" s="40"/>
      <c r="D263" s="40"/>
    </row>
    <row r="264">
      <c r="B264" s="40"/>
      <c r="C264" s="40"/>
      <c r="D264" s="40"/>
    </row>
    <row r="265">
      <c r="B265" s="40"/>
      <c r="C265" s="40"/>
      <c r="D265" s="40"/>
    </row>
    <row r="266">
      <c r="B266" s="40"/>
      <c r="C266" s="40"/>
      <c r="D266" s="40"/>
    </row>
    <row r="267">
      <c r="B267" s="40"/>
      <c r="C267" s="40"/>
      <c r="D267" s="40"/>
    </row>
    <row r="268">
      <c r="B268" s="40"/>
      <c r="C268" s="40"/>
      <c r="D268" s="40"/>
    </row>
    <row r="269">
      <c r="B269" s="40"/>
      <c r="C269" s="40"/>
      <c r="D269" s="40"/>
    </row>
    <row r="270">
      <c r="B270" s="40"/>
      <c r="C270" s="40"/>
      <c r="D270" s="40"/>
    </row>
    <row r="271">
      <c r="B271" s="40"/>
      <c r="C271" s="40"/>
      <c r="D271" s="40"/>
    </row>
    <row r="272">
      <c r="B272" s="40"/>
      <c r="C272" s="40"/>
      <c r="D272" s="40"/>
    </row>
    <row r="273">
      <c r="B273" s="40"/>
      <c r="C273" s="40"/>
      <c r="D273" s="40"/>
    </row>
    <row r="274">
      <c r="B274" s="40"/>
      <c r="C274" s="40"/>
      <c r="D274" s="40"/>
    </row>
    <row r="275">
      <c r="B275" s="40"/>
      <c r="C275" s="40"/>
      <c r="D275" s="40"/>
    </row>
    <row r="276">
      <c r="B276" s="40"/>
      <c r="C276" s="40"/>
      <c r="D276" s="40"/>
    </row>
    <row r="277">
      <c r="B277" s="40"/>
      <c r="C277" s="40"/>
      <c r="D277" s="40"/>
    </row>
    <row r="278">
      <c r="B278" s="40"/>
      <c r="C278" s="40"/>
      <c r="D278" s="40"/>
    </row>
    <row r="279">
      <c r="B279" s="40"/>
      <c r="C279" s="40"/>
      <c r="D279" s="40"/>
    </row>
    <row r="280">
      <c r="B280" s="40"/>
      <c r="C280" s="40"/>
      <c r="D280" s="40"/>
    </row>
    <row r="281">
      <c r="B281" s="40"/>
      <c r="C281" s="40"/>
      <c r="D281" s="40"/>
    </row>
    <row r="282">
      <c r="B282" s="40"/>
      <c r="C282" s="40"/>
      <c r="D282" s="40"/>
    </row>
    <row r="283">
      <c r="B283" s="40"/>
      <c r="C283" s="40"/>
      <c r="D283" s="40"/>
    </row>
    <row r="284">
      <c r="B284" s="40"/>
      <c r="C284" s="40"/>
      <c r="D284" s="40"/>
    </row>
    <row r="285">
      <c r="B285" s="40"/>
      <c r="C285" s="40"/>
      <c r="D285" s="40"/>
    </row>
    <row r="286">
      <c r="B286" s="40"/>
      <c r="C286" s="40"/>
      <c r="D286" s="40"/>
    </row>
    <row r="287">
      <c r="B287" s="40"/>
      <c r="C287" s="40"/>
      <c r="D287" s="40"/>
    </row>
    <row r="288">
      <c r="B288" s="40"/>
      <c r="C288" s="40"/>
      <c r="D288" s="40"/>
    </row>
    <row r="289">
      <c r="B289" s="40"/>
      <c r="C289" s="40"/>
      <c r="D289" s="40"/>
    </row>
    <row r="290">
      <c r="B290" s="40"/>
      <c r="C290" s="40"/>
      <c r="D290" s="40"/>
    </row>
    <row r="291">
      <c r="B291" s="40"/>
      <c r="C291" s="40"/>
      <c r="D291" s="40"/>
    </row>
    <row r="292">
      <c r="B292" s="40"/>
      <c r="C292" s="40"/>
      <c r="D292" s="40"/>
    </row>
    <row r="293">
      <c r="B293" s="40"/>
      <c r="C293" s="40"/>
      <c r="D293" s="40"/>
    </row>
    <row r="294">
      <c r="B294" s="40"/>
      <c r="C294" s="40"/>
      <c r="D294" s="40"/>
    </row>
    <row r="295">
      <c r="B295" s="40"/>
      <c r="C295" s="40"/>
      <c r="D295" s="40"/>
    </row>
    <row r="296">
      <c r="B296" s="40"/>
      <c r="C296" s="40"/>
      <c r="D296" s="40"/>
    </row>
    <row r="297">
      <c r="B297" s="40"/>
      <c r="C297" s="40"/>
      <c r="D297" s="40"/>
    </row>
    <row r="298">
      <c r="B298" s="40"/>
      <c r="C298" s="40"/>
      <c r="D298" s="40"/>
    </row>
    <row r="299">
      <c r="B299" s="40"/>
      <c r="C299" s="40"/>
      <c r="D299" s="40"/>
    </row>
    <row r="300">
      <c r="B300" s="40"/>
      <c r="C300" s="40"/>
      <c r="D300" s="40"/>
    </row>
    <row r="301">
      <c r="B301" s="40"/>
      <c r="C301" s="40"/>
      <c r="D301" s="40"/>
    </row>
    <row r="302">
      <c r="B302" s="40"/>
      <c r="C302" s="40"/>
      <c r="D302" s="40"/>
    </row>
    <row r="303">
      <c r="B303" s="40"/>
      <c r="C303" s="40"/>
      <c r="D303" s="40"/>
    </row>
    <row r="304">
      <c r="B304" s="40"/>
      <c r="C304" s="40"/>
      <c r="D304" s="40"/>
    </row>
    <row r="305">
      <c r="B305" s="40"/>
      <c r="C305" s="40"/>
      <c r="D305" s="40"/>
    </row>
    <row r="306">
      <c r="B306" s="40"/>
      <c r="C306" s="40"/>
      <c r="D306" s="40"/>
    </row>
    <row r="307">
      <c r="B307" s="40"/>
      <c r="C307" s="40"/>
      <c r="D307" s="40"/>
    </row>
    <row r="308">
      <c r="B308" s="40"/>
      <c r="C308" s="40"/>
      <c r="D308" s="40"/>
    </row>
    <row r="309">
      <c r="B309" s="40"/>
      <c r="C309" s="40"/>
      <c r="D309" s="40"/>
    </row>
    <row r="310">
      <c r="B310" s="40"/>
      <c r="C310" s="40"/>
      <c r="D310" s="40"/>
    </row>
    <row r="311">
      <c r="B311" s="40"/>
      <c r="C311" s="40"/>
      <c r="D311" s="40"/>
    </row>
    <row r="312">
      <c r="B312" s="40"/>
      <c r="C312" s="40"/>
      <c r="D312" s="40"/>
    </row>
    <row r="313">
      <c r="B313" s="40"/>
      <c r="C313" s="40"/>
      <c r="D313" s="40"/>
    </row>
    <row r="314">
      <c r="B314" s="40"/>
      <c r="C314" s="40"/>
      <c r="D314" s="40"/>
    </row>
    <row r="315">
      <c r="B315" s="40"/>
      <c r="C315" s="40"/>
      <c r="D315" s="40"/>
    </row>
    <row r="316">
      <c r="B316" s="40"/>
      <c r="C316" s="40"/>
      <c r="D316" s="40"/>
    </row>
    <row r="317">
      <c r="B317" s="40"/>
      <c r="C317" s="40"/>
      <c r="D317" s="40"/>
    </row>
    <row r="318">
      <c r="B318" s="40"/>
      <c r="C318" s="40"/>
      <c r="D318" s="40"/>
    </row>
    <row r="319">
      <c r="B319" s="40"/>
      <c r="C319" s="40"/>
      <c r="D319" s="40"/>
    </row>
    <row r="320">
      <c r="B320" s="40"/>
      <c r="C320" s="40"/>
      <c r="D320" s="40"/>
    </row>
    <row r="321">
      <c r="B321" s="40"/>
      <c r="C321" s="40"/>
      <c r="D321" s="40"/>
    </row>
    <row r="322">
      <c r="B322" s="40"/>
      <c r="C322" s="40"/>
      <c r="D322" s="40"/>
    </row>
    <row r="323">
      <c r="B323" s="40"/>
      <c r="C323" s="40"/>
      <c r="D323" s="40"/>
    </row>
    <row r="324">
      <c r="B324" s="40"/>
      <c r="C324" s="40"/>
      <c r="D324" s="40"/>
    </row>
    <row r="325">
      <c r="B325" s="40"/>
      <c r="C325" s="40"/>
      <c r="D325" s="40"/>
    </row>
    <row r="326">
      <c r="B326" s="40"/>
      <c r="C326" s="40"/>
      <c r="D326" s="40"/>
    </row>
    <row r="327">
      <c r="B327" s="40"/>
      <c r="C327" s="40"/>
      <c r="D327" s="40"/>
    </row>
    <row r="328">
      <c r="B328" s="40"/>
      <c r="C328" s="40"/>
      <c r="D328" s="40"/>
    </row>
    <row r="329">
      <c r="B329" s="40"/>
      <c r="C329" s="40"/>
      <c r="D329" s="40"/>
    </row>
    <row r="330">
      <c r="B330" s="40"/>
      <c r="C330" s="40"/>
      <c r="D330" s="40"/>
    </row>
    <row r="331">
      <c r="B331" s="40"/>
      <c r="C331" s="40"/>
      <c r="D331" s="40"/>
    </row>
    <row r="332">
      <c r="B332" s="40"/>
      <c r="C332" s="40"/>
      <c r="D332" s="40"/>
    </row>
    <row r="333">
      <c r="B333" s="40"/>
      <c r="C333" s="40"/>
      <c r="D333" s="40"/>
    </row>
    <row r="334">
      <c r="B334" s="40"/>
      <c r="C334" s="40"/>
      <c r="D334" s="40"/>
    </row>
    <row r="335">
      <c r="B335" s="40"/>
      <c r="C335" s="40"/>
      <c r="D335" s="40"/>
    </row>
    <row r="336">
      <c r="B336" s="40"/>
      <c r="C336" s="40"/>
      <c r="D336" s="40"/>
    </row>
    <row r="337">
      <c r="B337" s="40"/>
      <c r="C337" s="40"/>
      <c r="D337" s="40"/>
    </row>
    <row r="338">
      <c r="B338" s="40"/>
      <c r="C338" s="40"/>
      <c r="D338" s="40"/>
    </row>
    <row r="339">
      <c r="B339" s="40"/>
      <c r="C339" s="40"/>
      <c r="D339" s="40"/>
    </row>
    <row r="340">
      <c r="B340" s="40"/>
      <c r="C340" s="40"/>
      <c r="D340" s="40"/>
    </row>
    <row r="341">
      <c r="B341" s="40"/>
      <c r="C341" s="40"/>
      <c r="D341" s="40"/>
    </row>
    <row r="342">
      <c r="B342" s="40"/>
      <c r="C342" s="40"/>
      <c r="D342" s="40"/>
    </row>
    <row r="343">
      <c r="B343" s="40"/>
      <c r="C343" s="40"/>
      <c r="D343" s="40"/>
    </row>
    <row r="344">
      <c r="B344" s="40"/>
      <c r="C344" s="40"/>
      <c r="D344" s="40"/>
    </row>
    <row r="345">
      <c r="B345" s="40"/>
      <c r="C345" s="40"/>
      <c r="D345" s="40"/>
    </row>
    <row r="346">
      <c r="B346" s="40"/>
      <c r="C346" s="40"/>
      <c r="D346" s="40"/>
    </row>
    <row r="347">
      <c r="B347" s="40"/>
      <c r="C347" s="40"/>
      <c r="D347" s="40"/>
    </row>
    <row r="348">
      <c r="B348" s="40"/>
      <c r="C348" s="40"/>
      <c r="D348" s="40"/>
    </row>
    <row r="349">
      <c r="B349" s="40"/>
      <c r="C349" s="40"/>
      <c r="D349" s="40"/>
    </row>
    <row r="350">
      <c r="B350" s="40"/>
      <c r="C350" s="40"/>
      <c r="D350" s="40"/>
    </row>
    <row r="351">
      <c r="B351" s="40"/>
      <c r="C351" s="40"/>
      <c r="D351" s="40"/>
    </row>
    <row r="352">
      <c r="B352" s="40"/>
      <c r="C352" s="40"/>
      <c r="D352" s="40"/>
    </row>
    <row r="353">
      <c r="B353" s="40"/>
      <c r="C353" s="40"/>
      <c r="D353" s="40"/>
    </row>
    <row r="354">
      <c r="B354" s="40"/>
      <c r="C354" s="40"/>
      <c r="D354" s="40"/>
    </row>
    <row r="355">
      <c r="B355" s="40"/>
      <c r="C355" s="40"/>
      <c r="D355" s="40"/>
    </row>
    <row r="356">
      <c r="B356" s="40"/>
      <c r="C356" s="40"/>
      <c r="D356" s="40"/>
    </row>
    <row r="357">
      <c r="B357" s="40"/>
      <c r="C357" s="40"/>
      <c r="D357" s="40"/>
    </row>
    <row r="358">
      <c r="B358" s="40"/>
      <c r="C358" s="40"/>
      <c r="D358" s="40"/>
    </row>
    <row r="359">
      <c r="B359" s="40"/>
      <c r="C359" s="40"/>
      <c r="D359" s="40"/>
    </row>
    <row r="360">
      <c r="B360" s="40"/>
      <c r="C360" s="40"/>
      <c r="D360" s="40"/>
    </row>
    <row r="361">
      <c r="B361" s="40"/>
      <c r="C361" s="40"/>
      <c r="D361" s="40"/>
    </row>
    <row r="362">
      <c r="B362" s="40"/>
      <c r="C362" s="40"/>
      <c r="D362" s="40"/>
    </row>
    <row r="363">
      <c r="B363" s="40"/>
      <c r="C363" s="40"/>
      <c r="D363" s="40"/>
    </row>
    <row r="364">
      <c r="B364" s="40"/>
      <c r="C364" s="40"/>
      <c r="D364" s="40"/>
    </row>
    <row r="365">
      <c r="B365" s="40"/>
      <c r="C365" s="40"/>
      <c r="D365" s="40"/>
    </row>
    <row r="366">
      <c r="B366" s="40"/>
      <c r="C366" s="40"/>
      <c r="D366" s="40"/>
    </row>
    <row r="367">
      <c r="B367" s="40"/>
      <c r="C367" s="40"/>
      <c r="D367" s="40"/>
    </row>
    <row r="368">
      <c r="B368" s="40"/>
      <c r="C368" s="40"/>
      <c r="D368" s="40"/>
    </row>
    <row r="369">
      <c r="B369" s="40"/>
      <c r="C369" s="40"/>
      <c r="D369" s="40"/>
    </row>
    <row r="370">
      <c r="B370" s="40"/>
      <c r="C370" s="40"/>
      <c r="D370" s="40"/>
    </row>
    <row r="371">
      <c r="B371" s="40"/>
      <c r="C371" s="40"/>
      <c r="D371" s="40"/>
    </row>
    <row r="372">
      <c r="B372" s="40"/>
      <c r="C372" s="40"/>
      <c r="D372" s="40"/>
    </row>
    <row r="373">
      <c r="B373" s="40"/>
      <c r="C373" s="40"/>
      <c r="D373" s="40"/>
    </row>
    <row r="374">
      <c r="B374" s="40"/>
      <c r="C374" s="40"/>
      <c r="D374" s="40"/>
    </row>
    <row r="375">
      <c r="B375" s="40"/>
      <c r="C375" s="40"/>
      <c r="D375" s="40"/>
    </row>
    <row r="376">
      <c r="B376" s="40"/>
      <c r="C376" s="40"/>
      <c r="D376" s="40"/>
    </row>
    <row r="377">
      <c r="B377" s="40"/>
      <c r="C377" s="40"/>
      <c r="D377" s="40"/>
    </row>
    <row r="378">
      <c r="B378" s="40"/>
      <c r="C378" s="40"/>
      <c r="D378" s="40"/>
    </row>
    <row r="379">
      <c r="B379" s="40"/>
      <c r="C379" s="40"/>
      <c r="D379" s="40"/>
    </row>
    <row r="380">
      <c r="B380" s="40"/>
      <c r="C380" s="40"/>
      <c r="D380" s="40"/>
    </row>
    <row r="381">
      <c r="B381" s="40"/>
      <c r="C381" s="40"/>
      <c r="D381" s="40"/>
    </row>
    <row r="382">
      <c r="B382" s="40"/>
      <c r="C382" s="40"/>
      <c r="D382" s="40"/>
    </row>
    <row r="383">
      <c r="B383" s="40"/>
      <c r="C383" s="40"/>
      <c r="D383" s="40"/>
    </row>
    <row r="384">
      <c r="B384" s="40"/>
      <c r="C384" s="40"/>
      <c r="D384" s="40"/>
    </row>
    <row r="385">
      <c r="B385" s="40"/>
      <c r="C385" s="40"/>
      <c r="D385" s="40"/>
    </row>
    <row r="386">
      <c r="B386" s="40"/>
      <c r="C386" s="40"/>
      <c r="D386" s="40"/>
    </row>
    <row r="387">
      <c r="B387" s="40"/>
      <c r="C387" s="40"/>
      <c r="D387" s="40"/>
    </row>
    <row r="388">
      <c r="B388" s="40"/>
      <c r="C388" s="40"/>
      <c r="D388" s="40"/>
    </row>
    <row r="389">
      <c r="B389" s="40"/>
      <c r="C389" s="40"/>
      <c r="D389" s="40"/>
    </row>
    <row r="390">
      <c r="B390" s="40"/>
      <c r="C390" s="40"/>
      <c r="D390" s="40"/>
    </row>
    <row r="391">
      <c r="B391" s="40"/>
      <c r="C391" s="40"/>
      <c r="D391" s="40"/>
    </row>
    <row r="392">
      <c r="B392" s="40"/>
      <c r="C392" s="40"/>
      <c r="D392" s="40"/>
    </row>
    <row r="393">
      <c r="B393" s="40"/>
      <c r="C393" s="40"/>
      <c r="D393" s="40"/>
    </row>
    <row r="394">
      <c r="B394" s="40"/>
      <c r="C394" s="40"/>
      <c r="D394" s="40"/>
    </row>
    <row r="395">
      <c r="B395" s="40"/>
      <c r="C395" s="40"/>
      <c r="D395" s="40"/>
    </row>
    <row r="396">
      <c r="B396" s="40"/>
      <c r="C396" s="40"/>
      <c r="D396" s="40"/>
    </row>
    <row r="397">
      <c r="B397" s="40"/>
      <c r="C397" s="40"/>
      <c r="D397" s="40"/>
    </row>
    <row r="398">
      <c r="B398" s="40"/>
      <c r="C398" s="40"/>
      <c r="D398" s="40"/>
    </row>
    <row r="399">
      <c r="B399" s="40"/>
      <c r="C399" s="40"/>
      <c r="D399" s="40"/>
    </row>
    <row r="400">
      <c r="B400" s="40"/>
      <c r="C400" s="40"/>
      <c r="D400" s="40"/>
    </row>
    <row r="401">
      <c r="B401" s="40"/>
      <c r="C401" s="40"/>
      <c r="D401" s="40"/>
    </row>
    <row r="402">
      <c r="B402" s="40"/>
      <c r="C402" s="40"/>
      <c r="D402" s="40"/>
    </row>
    <row r="403">
      <c r="B403" s="40"/>
      <c r="C403" s="40"/>
      <c r="D403" s="40"/>
    </row>
    <row r="404">
      <c r="B404" s="40"/>
      <c r="C404" s="40"/>
      <c r="D404" s="40"/>
    </row>
    <row r="405">
      <c r="B405" s="40"/>
      <c r="C405" s="40"/>
      <c r="D405" s="40"/>
    </row>
    <row r="406">
      <c r="B406" s="40"/>
      <c r="C406" s="40"/>
      <c r="D406" s="40"/>
    </row>
    <row r="407">
      <c r="B407" s="40"/>
      <c r="C407" s="40"/>
      <c r="D407" s="40"/>
    </row>
    <row r="408">
      <c r="B408" s="40"/>
      <c r="C408" s="40"/>
      <c r="D408" s="40"/>
    </row>
    <row r="409">
      <c r="B409" s="40"/>
      <c r="C409" s="40"/>
      <c r="D409" s="40"/>
    </row>
    <row r="410">
      <c r="B410" s="40"/>
      <c r="C410" s="40"/>
      <c r="D410" s="40"/>
    </row>
    <row r="411">
      <c r="B411" s="40"/>
      <c r="C411" s="40"/>
      <c r="D411" s="40"/>
    </row>
    <row r="412">
      <c r="B412" s="40"/>
      <c r="C412" s="40"/>
      <c r="D412" s="40"/>
    </row>
    <row r="413">
      <c r="B413" s="40"/>
      <c r="C413" s="40"/>
      <c r="D413" s="40"/>
    </row>
    <row r="414">
      <c r="B414" s="40"/>
      <c r="C414" s="40"/>
      <c r="D414" s="40"/>
    </row>
    <row r="415">
      <c r="B415" s="40"/>
      <c r="C415" s="40"/>
      <c r="D415" s="40"/>
    </row>
    <row r="416">
      <c r="B416" s="40"/>
      <c r="C416" s="40"/>
      <c r="D416" s="40"/>
    </row>
    <row r="417">
      <c r="B417" s="40"/>
      <c r="C417" s="40"/>
      <c r="D417" s="40"/>
    </row>
    <row r="418">
      <c r="B418" s="40"/>
      <c r="C418" s="40"/>
      <c r="D418" s="40"/>
    </row>
    <row r="419">
      <c r="B419" s="40"/>
      <c r="C419" s="40"/>
      <c r="D419" s="40"/>
    </row>
    <row r="420">
      <c r="B420" s="40"/>
      <c r="C420" s="40"/>
      <c r="D420" s="40"/>
    </row>
    <row r="421">
      <c r="B421" s="40"/>
      <c r="C421" s="40"/>
      <c r="D421" s="40"/>
    </row>
    <row r="422">
      <c r="B422" s="40"/>
      <c r="C422" s="40"/>
      <c r="D422" s="40"/>
    </row>
    <row r="423">
      <c r="B423" s="40"/>
      <c r="C423" s="40"/>
      <c r="D423" s="40"/>
    </row>
    <row r="424">
      <c r="B424" s="40"/>
      <c r="C424" s="40"/>
      <c r="D424" s="40"/>
    </row>
    <row r="425">
      <c r="B425" s="40"/>
      <c r="C425" s="40"/>
      <c r="D425" s="40"/>
    </row>
    <row r="426">
      <c r="B426" s="40"/>
      <c r="C426" s="40"/>
      <c r="D426" s="40"/>
    </row>
    <row r="427">
      <c r="B427" s="40"/>
      <c r="C427" s="40"/>
      <c r="D427" s="40"/>
    </row>
    <row r="428">
      <c r="B428" s="40"/>
      <c r="C428" s="40"/>
      <c r="D428" s="40"/>
    </row>
    <row r="429">
      <c r="B429" s="40"/>
      <c r="C429" s="40"/>
      <c r="D429" s="40"/>
    </row>
    <row r="430">
      <c r="B430" s="40"/>
      <c r="C430" s="40"/>
      <c r="D430" s="40"/>
    </row>
    <row r="431">
      <c r="B431" s="40"/>
      <c r="C431" s="40"/>
      <c r="D431" s="40"/>
    </row>
    <row r="432">
      <c r="B432" s="40"/>
      <c r="C432" s="40"/>
      <c r="D432" s="40"/>
    </row>
    <row r="433">
      <c r="B433" s="40"/>
      <c r="C433" s="40"/>
      <c r="D433" s="40"/>
    </row>
    <row r="434">
      <c r="B434" s="40"/>
      <c r="C434" s="40"/>
      <c r="D434" s="40"/>
    </row>
    <row r="435">
      <c r="B435" s="40"/>
      <c r="C435" s="40"/>
      <c r="D435" s="40"/>
    </row>
    <row r="436">
      <c r="B436" s="40"/>
      <c r="C436" s="40"/>
      <c r="D436" s="40"/>
    </row>
    <row r="437">
      <c r="B437" s="40"/>
      <c r="C437" s="40"/>
      <c r="D437" s="40"/>
    </row>
    <row r="438">
      <c r="B438" s="40"/>
      <c r="C438" s="40"/>
      <c r="D438" s="40"/>
    </row>
    <row r="439">
      <c r="B439" s="40"/>
      <c r="C439" s="40"/>
      <c r="D439" s="40"/>
    </row>
    <row r="440">
      <c r="B440" s="40"/>
      <c r="C440" s="40"/>
      <c r="D440" s="40"/>
    </row>
    <row r="441">
      <c r="B441" s="40"/>
      <c r="C441" s="40"/>
      <c r="D441" s="40"/>
    </row>
    <row r="442">
      <c r="B442" s="40"/>
      <c r="C442" s="40"/>
      <c r="D442" s="40"/>
    </row>
    <row r="443">
      <c r="B443" s="40"/>
      <c r="C443" s="40"/>
      <c r="D443" s="40"/>
    </row>
    <row r="444">
      <c r="B444" s="40"/>
      <c r="C444" s="40"/>
      <c r="D444" s="40"/>
    </row>
    <row r="445">
      <c r="B445" s="40"/>
      <c r="C445" s="40"/>
      <c r="D445" s="40"/>
    </row>
    <row r="446">
      <c r="B446" s="40"/>
      <c r="C446" s="40"/>
      <c r="D446" s="40"/>
    </row>
    <row r="447">
      <c r="B447" s="40"/>
      <c r="C447" s="40"/>
      <c r="D447" s="40"/>
    </row>
    <row r="448">
      <c r="B448" s="40"/>
      <c r="C448" s="40"/>
      <c r="D448" s="40"/>
    </row>
    <row r="449">
      <c r="B449" s="40"/>
      <c r="C449" s="40"/>
      <c r="D449" s="40"/>
    </row>
    <row r="450">
      <c r="B450" s="40"/>
      <c r="C450" s="40"/>
      <c r="D450" s="40"/>
    </row>
    <row r="451">
      <c r="B451" s="40"/>
      <c r="C451" s="40"/>
      <c r="D451" s="40"/>
    </row>
    <row r="452">
      <c r="B452" s="40"/>
      <c r="C452" s="40"/>
      <c r="D452" s="40"/>
    </row>
    <row r="453">
      <c r="B453" s="40"/>
      <c r="C453" s="40"/>
      <c r="D453" s="40"/>
    </row>
    <row r="454">
      <c r="B454" s="40"/>
      <c r="C454" s="40"/>
      <c r="D454" s="40"/>
    </row>
    <row r="455">
      <c r="B455" s="40"/>
      <c r="C455" s="40"/>
      <c r="D455" s="40"/>
    </row>
    <row r="456">
      <c r="B456" s="40"/>
      <c r="C456" s="40"/>
      <c r="D456" s="40"/>
    </row>
    <row r="457">
      <c r="B457" s="40"/>
      <c r="C457" s="40"/>
      <c r="D457" s="40"/>
    </row>
    <row r="458">
      <c r="B458" s="40"/>
      <c r="C458" s="40"/>
      <c r="D458" s="40"/>
    </row>
    <row r="459">
      <c r="B459" s="40"/>
      <c r="C459" s="40"/>
      <c r="D459" s="40"/>
    </row>
    <row r="460">
      <c r="B460" s="40"/>
      <c r="C460" s="40"/>
      <c r="D460" s="40"/>
    </row>
    <row r="461">
      <c r="B461" s="40"/>
      <c r="C461" s="40"/>
      <c r="D461" s="40"/>
    </row>
    <row r="462">
      <c r="B462" s="40"/>
      <c r="C462" s="40"/>
      <c r="D462" s="40"/>
    </row>
    <row r="463">
      <c r="B463" s="40"/>
      <c r="C463" s="40"/>
      <c r="D463" s="40"/>
    </row>
    <row r="464">
      <c r="B464" s="40"/>
      <c r="C464" s="40"/>
      <c r="D464" s="40"/>
    </row>
    <row r="465">
      <c r="B465" s="40"/>
      <c r="C465" s="40"/>
      <c r="D465" s="40"/>
    </row>
    <row r="466">
      <c r="B466" s="40"/>
      <c r="C466" s="40"/>
      <c r="D466" s="40"/>
    </row>
    <row r="467">
      <c r="B467" s="40"/>
      <c r="C467" s="40"/>
      <c r="D467" s="40"/>
    </row>
    <row r="468">
      <c r="B468" s="40"/>
      <c r="C468" s="40"/>
      <c r="D468" s="40"/>
    </row>
    <row r="469">
      <c r="B469" s="40"/>
      <c r="C469" s="40"/>
      <c r="D469" s="40"/>
    </row>
    <row r="470">
      <c r="B470" s="40"/>
      <c r="C470" s="40"/>
      <c r="D470" s="40"/>
    </row>
    <row r="471">
      <c r="B471" s="40"/>
      <c r="C471" s="40"/>
      <c r="D471" s="40"/>
    </row>
    <row r="472">
      <c r="B472" s="40"/>
      <c r="C472" s="40"/>
      <c r="D472" s="40"/>
    </row>
    <row r="473">
      <c r="B473" s="40"/>
      <c r="C473" s="40"/>
      <c r="D473" s="40"/>
    </row>
    <row r="474">
      <c r="B474" s="40"/>
      <c r="C474" s="40"/>
      <c r="D474" s="40"/>
    </row>
    <row r="475">
      <c r="B475" s="40"/>
      <c r="C475" s="40"/>
      <c r="D475" s="40"/>
    </row>
    <row r="476">
      <c r="B476" s="40"/>
      <c r="C476" s="40"/>
      <c r="D476" s="40"/>
    </row>
    <row r="477">
      <c r="B477" s="40"/>
      <c r="C477" s="40"/>
      <c r="D477" s="40"/>
    </row>
    <row r="478">
      <c r="B478" s="40"/>
      <c r="C478" s="40"/>
      <c r="D478" s="40"/>
    </row>
    <row r="479">
      <c r="B479" s="40"/>
      <c r="C479" s="40"/>
      <c r="D479" s="40"/>
    </row>
    <row r="480">
      <c r="B480" s="40"/>
      <c r="C480" s="40"/>
      <c r="D480" s="40"/>
    </row>
    <row r="481">
      <c r="B481" s="40"/>
      <c r="C481" s="40"/>
      <c r="D481" s="40"/>
    </row>
    <row r="482">
      <c r="B482" s="40"/>
      <c r="C482" s="40"/>
      <c r="D482" s="40"/>
    </row>
    <row r="483">
      <c r="B483" s="40"/>
      <c r="C483" s="40"/>
      <c r="D483" s="40"/>
    </row>
    <row r="484">
      <c r="B484" s="40"/>
      <c r="C484" s="40"/>
      <c r="D484" s="40"/>
    </row>
    <row r="485">
      <c r="B485" s="40"/>
      <c r="C485" s="40"/>
      <c r="D485" s="40"/>
    </row>
    <row r="486">
      <c r="B486" s="40"/>
      <c r="C486" s="40"/>
      <c r="D486" s="40"/>
    </row>
    <row r="487">
      <c r="B487" s="40"/>
      <c r="C487" s="40"/>
      <c r="D487" s="40"/>
    </row>
    <row r="488">
      <c r="B488" s="40"/>
      <c r="C488" s="40"/>
      <c r="D488" s="40"/>
    </row>
    <row r="489">
      <c r="B489" s="40"/>
      <c r="C489" s="40"/>
      <c r="D489" s="40"/>
    </row>
    <row r="490">
      <c r="B490" s="40"/>
      <c r="C490" s="40"/>
      <c r="D490" s="40"/>
    </row>
    <row r="491">
      <c r="B491" s="40"/>
      <c r="C491" s="40"/>
      <c r="D491" s="40"/>
    </row>
    <row r="492">
      <c r="B492" s="40"/>
      <c r="C492" s="40"/>
      <c r="D492" s="40"/>
    </row>
    <row r="493">
      <c r="B493" s="40"/>
      <c r="C493" s="40"/>
      <c r="D493" s="40"/>
    </row>
    <row r="494">
      <c r="B494" s="40"/>
      <c r="C494" s="40"/>
      <c r="D494" s="40"/>
    </row>
    <row r="495">
      <c r="B495" s="40"/>
      <c r="C495" s="40"/>
      <c r="D495" s="40"/>
    </row>
    <row r="496">
      <c r="B496" s="40"/>
      <c r="C496" s="40"/>
      <c r="D496" s="40"/>
    </row>
    <row r="497">
      <c r="B497" s="40"/>
      <c r="C497" s="40"/>
      <c r="D497" s="40"/>
    </row>
    <row r="498">
      <c r="B498" s="40"/>
      <c r="C498" s="40"/>
      <c r="D498" s="40"/>
    </row>
    <row r="499">
      <c r="B499" s="40"/>
      <c r="C499" s="40"/>
      <c r="D499" s="40"/>
    </row>
    <row r="500">
      <c r="B500" s="40"/>
      <c r="C500" s="40"/>
      <c r="D500" s="40"/>
    </row>
    <row r="501">
      <c r="B501" s="40"/>
      <c r="C501" s="40"/>
      <c r="D501" s="40"/>
    </row>
    <row r="502">
      <c r="B502" s="40"/>
      <c r="C502" s="40"/>
      <c r="D502" s="40"/>
    </row>
    <row r="503">
      <c r="B503" s="40"/>
      <c r="C503" s="40"/>
      <c r="D503" s="40"/>
    </row>
    <row r="504">
      <c r="B504" s="40"/>
      <c r="C504" s="40"/>
      <c r="D504" s="40"/>
    </row>
    <row r="505">
      <c r="B505" s="40"/>
      <c r="C505" s="40"/>
      <c r="D505" s="40"/>
    </row>
    <row r="506">
      <c r="B506" s="40"/>
      <c r="C506" s="40"/>
      <c r="D506" s="40"/>
    </row>
    <row r="507">
      <c r="B507" s="40"/>
      <c r="C507" s="40"/>
      <c r="D507" s="40"/>
    </row>
    <row r="508">
      <c r="B508" s="40"/>
      <c r="C508" s="40"/>
      <c r="D508" s="40"/>
    </row>
    <row r="509">
      <c r="B509" s="40"/>
      <c r="C509" s="40"/>
      <c r="D509" s="40"/>
    </row>
    <row r="510">
      <c r="B510" s="40"/>
      <c r="C510" s="40"/>
      <c r="D510" s="40"/>
    </row>
    <row r="511">
      <c r="B511" s="40"/>
      <c r="C511" s="40"/>
      <c r="D511" s="40"/>
    </row>
    <row r="512">
      <c r="B512" s="40"/>
      <c r="C512" s="40"/>
      <c r="D512" s="40"/>
    </row>
    <row r="513">
      <c r="B513" s="40"/>
      <c r="C513" s="40"/>
      <c r="D513" s="40"/>
    </row>
    <row r="514">
      <c r="B514" s="40"/>
      <c r="C514" s="40"/>
      <c r="D514" s="40"/>
    </row>
    <row r="515">
      <c r="B515" s="40"/>
      <c r="C515" s="40"/>
      <c r="D515" s="40"/>
    </row>
    <row r="516">
      <c r="B516" s="40"/>
      <c r="C516" s="40"/>
      <c r="D516" s="40"/>
    </row>
    <row r="517">
      <c r="B517" s="40"/>
      <c r="C517" s="40"/>
      <c r="D517" s="40"/>
    </row>
    <row r="518">
      <c r="B518" s="40"/>
      <c r="C518" s="40"/>
      <c r="D518" s="40"/>
    </row>
    <row r="519">
      <c r="B519" s="40"/>
      <c r="C519" s="40"/>
      <c r="D519" s="40"/>
    </row>
    <row r="520">
      <c r="B520" s="40"/>
      <c r="C520" s="40"/>
      <c r="D520" s="40"/>
    </row>
    <row r="521">
      <c r="B521" s="40"/>
      <c r="C521" s="40"/>
      <c r="D521" s="40"/>
    </row>
    <row r="522">
      <c r="B522" s="40"/>
      <c r="C522" s="40"/>
      <c r="D522" s="40"/>
    </row>
    <row r="523">
      <c r="B523" s="40"/>
      <c r="C523" s="40"/>
      <c r="D523" s="40"/>
    </row>
    <row r="524">
      <c r="B524" s="40"/>
      <c r="C524" s="40"/>
      <c r="D524" s="40"/>
    </row>
    <row r="525">
      <c r="B525" s="40"/>
      <c r="C525" s="40"/>
      <c r="D525" s="40"/>
    </row>
    <row r="526">
      <c r="B526" s="40"/>
      <c r="C526" s="40"/>
      <c r="D526" s="40"/>
    </row>
    <row r="527">
      <c r="B527" s="40"/>
      <c r="C527" s="40"/>
      <c r="D527" s="40"/>
    </row>
    <row r="528">
      <c r="B528" s="40"/>
      <c r="C528" s="40"/>
      <c r="D528" s="40"/>
    </row>
    <row r="529">
      <c r="B529" s="40"/>
      <c r="C529" s="40"/>
      <c r="D529" s="40"/>
    </row>
    <row r="530">
      <c r="B530" s="40"/>
      <c r="C530" s="40"/>
      <c r="D530" s="40"/>
    </row>
    <row r="531">
      <c r="B531" s="40"/>
      <c r="C531" s="40"/>
      <c r="D531" s="40"/>
    </row>
    <row r="532">
      <c r="B532" s="40"/>
      <c r="C532" s="40"/>
      <c r="D532" s="40"/>
    </row>
    <row r="533">
      <c r="B533" s="40"/>
      <c r="C533" s="40"/>
      <c r="D533" s="40"/>
    </row>
    <row r="534">
      <c r="B534" s="40"/>
      <c r="C534" s="40"/>
      <c r="D534" s="40"/>
    </row>
    <row r="535">
      <c r="B535" s="40"/>
      <c r="C535" s="40"/>
      <c r="D535" s="40"/>
    </row>
    <row r="536">
      <c r="B536" s="40"/>
      <c r="C536" s="40"/>
      <c r="D536" s="40"/>
    </row>
    <row r="537">
      <c r="B537" s="40"/>
      <c r="C537" s="40"/>
      <c r="D537" s="40"/>
    </row>
    <row r="538">
      <c r="B538" s="40"/>
      <c r="C538" s="40"/>
      <c r="D538" s="40"/>
    </row>
    <row r="539">
      <c r="B539" s="40"/>
      <c r="C539" s="40"/>
      <c r="D539" s="40"/>
    </row>
    <row r="540">
      <c r="B540" s="40"/>
      <c r="C540" s="40"/>
      <c r="D540" s="40"/>
    </row>
    <row r="541">
      <c r="B541" s="40"/>
      <c r="C541" s="40"/>
      <c r="D541" s="40"/>
    </row>
    <row r="542">
      <c r="B542" s="40"/>
      <c r="C542" s="40"/>
      <c r="D542" s="40"/>
    </row>
    <row r="543">
      <c r="B543" s="40"/>
      <c r="C543" s="40"/>
      <c r="D543" s="40"/>
    </row>
    <row r="544">
      <c r="B544" s="40"/>
      <c r="C544" s="40"/>
      <c r="D544" s="40"/>
    </row>
    <row r="545">
      <c r="B545" s="40"/>
      <c r="C545" s="40"/>
      <c r="D545" s="40"/>
    </row>
    <row r="546">
      <c r="B546" s="40"/>
      <c r="C546" s="40"/>
      <c r="D546" s="40"/>
    </row>
    <row r="547">
      <c r="B547" s="40"/>
      <c r="C547" s="40"/>
      <c r="D547" s="40"/>
    </row>
    <row r="548">
      <c r="B548" s="40"/>
      <c r="C548" s="40"/>
      <c r="D548" s="40"/>
    </row>
    <row r="549">
      <c r="B549" s="40"/>
      <c r="C549" s="40"/>
      <c r="D549" s="40"/>
    </row>
    <row r="550">
      <c r="B550" s="40"/>
      <c r="C550" s="40"/>
      <c r="D550" s="40"/>
    </row>
    <row r="551">
      <c r="B551" s="40"/>
      <c r="C551" s="40"/>
      <c r="D551" s="40"/>
    </row>
    <row r="552">
      <c r="B552" s="40"/>
      <c r="C552" s="40"/>
      <c r="D552" s="40"/>
    </row>
    <row r="553">
      <c r="B553" s="40"/>
      <c r="C553" s="40"/>
      <c r="D553" s="40"/>
    </row>
    <row r="554">
      <c r="B554" s="40"/>
      <c r="C554" s="40"/>
      <c r="D554" s="40"/>
    </row>
    <row r="555">
      <c r="B555" s="40"/>
      <c r="C555" s="40"/>
      <c r="D555" s="40"/>
    </row>
    <row r="556">
      <c r="B556" s="40"/>
      <c r="C556" s="40"/>
      <c r="D556" s="40"/>
    </row>
    <row r="557">
      <c r="B557" s="40"/>
      <c r="C557" s="40"/>
      <c r="D557" s="40"/>
    </row>
    <row r="558">
      <c r="B558" s="40"/>
      <c r="C558" s="40"/>
      <c r="D558" s="40"/>
    </row>
    <row r="559">
      <c r="B559" s="40"/>
      <c r="C559" s="40"/>
      <c r="D559" s="40"/>
    </row>
    <row r="560">
      <c r="B560" s="40"/>
      <c r="C560" s="40"/>
      <c r="D560" s="40"/>
    </row>
    <row r="561">
      <c r="B561" s="40"/>
      <c r="C561" s="40"/>
      <c r="D561" s="40"/>
    </row>
    <row r="562">
      <c r="B562" s="40"/>
      <c r="C562" s="40"/>
      <c r="D562" s="40"/>
    </row>
    <row r="563">
      <c r="B563" s="40"/>
      <c r="C563" s="40"/>
      <c r="D563" s="40"/>
    </row>
    <row r="564">
      <c r="B564" s="40"/>
      <c r="C564" s="40"/>
      <c r="D564" s="40"/>
    </row>
    <row r="565">
      <c r="B565" s="40"/>
      <c r="C565" s="40"/>
      <c r="D565" s="40"/>
    </row>
    <row r="566">
      <c r="B566" s="40"/>
      <c r="C566" s="40"/>
      <c r="D566" s="40"/>
    </row>
    <row r="567">
      <c r="B567" s="40"/>
      <c r="C567" s="40"/>
      <c r="D567" s="40"/>
    </row>
    <row r="568">
      <c r="B568" s="40"/>
      <c r="C568" s="40"/>
      <c r="D568" s="40"/>
    </row>
    <row r="569">
      <c r="B569" s="40"/>
      <c r="C569" s="40"/>
      <c r="D569" s="40"/>
    </row>
    <row r="570">
      <c r="B570" s="40"/>
      <c r="C570" s="40"/>
      <c r="D570" s="40"/>
    </row>
    <row r="571">
      <c r="B571" s="40"/>
      <c r="C571" s="40"/>
      <c r="D571" s="40"/>
    </row>
    <row r="572">
      <c r="B572" s="40"/>
      <c r="C572" s="40"/>
      <c r="D572" s="40"/>
    </row>
    <row r="573">
      <c r="B573" s="40"/>
      <c r="C573" s="40"/>
      <c r="D573" s="40"/>
    </row>
    <row r="574">
      <c r="B574" s="40"/>
      <c r="C574" s="40"/>
      <c r="D574" s="40"/>
    </row>
    <row r="575">
      <c r="B575" s="40"/>
      <c r="C575" s="40"/>
      <c r="D575" s="40"/>
    </row>
    <row r="576">
      <c r="B576" s="40"/>
      <c r="C576" s="40"/>
      <c r="D576" s="40"/>
    </row>
    <row r="577">
      <c r="B577" s="40"/>
      <c r="C577" s="40"/>
      <c r="D577" s="40"/>
    </row>
    <row r="578">
      <c r="B578" s="40"/>
      <c r="C578" s="40"/>
      <c r="D578" s="40"/>
    </row>
    <row r="579">
      <c r="B579" s="40"/>
      <c r="C579" s="40"/>
      <c r="D579" s="40"/>
    </row>
    <row r="580">
      <c r="B580" s="40"/>
      <c r="C580" s="40"/>
      <c r="D580" s="40"/>
    </row>
    <row r="581">
      <c r="B581" s="40"/>
      <c r="C581" s="40"/>
      <c r="D581" s="40"/>
    </row>
    <row r="582">
      <c r="B582" s="40"/>
      <c r="C582" s="40"/>
      <c r="D582" s="40"/>
    </row>
    <row r="583">
      <c r="B583" s="40"/>
      <c r="C583" s="40"/>
      <c r="D583" s="40"/>
    </row>
    <row r="584">
      <c r="B584" s="40"/>
      <c r="C584" s="40"/>
      <c r="D584" s="40"/>
    </row>
    <row r="585">
      <c r="B585" s="40"/>
      <c r="C585" s="40"/>
      <c r="D585" s="40"/>
    </row>
    <row r="586">
      <c r="B586" s="40"/>
      <c r="C586" s="40"/>
      <c r="D586" s="40"/>
    </row>
    <row r="587">
      <c r="B587" s="40"/>
      <c r="C587" s="40"/>
      <c r="D587" s="40"/>
    </row>
    <row r="588">
      <c r="B588" s="40"/>
      <c r="C588" s="40"/>
      <c r="D588" s="40"/>
    </row>
    <row r="589">
      <c r="B589" s="40"/>
      <c r="C589" s="40"/>
      <c r="D589" s="40"/>
    </row>
    <row r="590">
      <c r="B590" s="40"/>
      <c r="C590" s="40"/>
      <c r="D590" s="40"/>
    </row>
    <row r="591">
      <c r="B591" s="40"/>
      <c r="C591" s="40"/>
      <c r="D591" s="40"/>
    </row>
    <row r="592">
      <c r="B592" s="40"/>
      <c r="C592" s="40"/>
      <c r="D592" s="40"/>
    </row>
    <row r="593">
      <c r="B593" s="40"/>
      <c r="C593" s="40"/>
      <c r="D593" s="40"/>
    </row>
    <row r="594">
      <c r="B594" s="40"/>
      <c r="C594" s="40"/>
      <c r="D594" s="40"/>
    </row>
    <row r="595">
      <c r="B595" s="40"/>
      <c r="C595" s="40"/>
      <c r="D595" s="40"/>
    </row>
    <row r="596">
      <c r="B596" s="40"/>
      <c r="C596" s="40"/>
      <c r="D596" s="40"/>
    </row>
    <row r="597">
      <c r="B597" s="40"/>
      <c r="C597" s="40"/>
      <c r="D597" s="40"/>
    </row>
    <row r="598">
      <c r="B598" s="40"/>
      <c r="C598" s="40"/>
      <c r="D598" s="40"/>
    </row>
    <row r="599">
      <c r="B599" s="40"/>
      <c r="C599" s="40"/>
      <c r="D599" s="40"/>
    </row>
    <row r="600">
      <c r="B600" s="40"/>
      <c r="C600" s="40"/>
      <c r="D600" s="40"/>
    </row>
    <row r="601">
      <c r="B601" s="40"/>
      <c r="C601" s="40"/>
      <c r="D601" s="40"/>
    </row>
    <row r="602">
      <c r="B602" s="40"/>
      <c r="C602" s="40"/>
      <c r="D602" s="40"/>
    </row>
    <row r="603">
      <c r="B603" s="40"/>
      <c r="C603" s="40"/>
      <c r="D603" s="40"/>
    </row>
    <row r="604">
      <c r="B604" s="40"/>
      <c r="C604" s="40"/>
      <c r="D604" s="40"/>
    </row>
    <row r="605">
      <c r="B605" s="40"/>
      <c r="C605" s="40"/>
      <c r="D605" s="40"/>
    </row>
    <row r="606">
      <c r="B606" s="40"/>
      <c r="C606" s="40"/>
      <c r="D606" s="40"/>
    </row>
    <row r="607">
      <c r="B607" s="40"/>
      <c r="C607" s="40"/>
      <c r="D607" s="40"/>
    </row>
    <row r="608">
      <c r="B608" s="40"/>
      <c r="C608" s="40"/>
      <c r="D608" s="40"/>
    </row>
    <row r="609">
      <c r="B609" s="40"/>
      <c r="C609" s="40"/>
      <c r="D609" s="40"/>
    </row>
    <row r="610">
      <c r="B610" s="40"/>
      <c r="C610" s="40"/>
      <c r="D610" s="40"/>
    </row>
    <row r="611">
      <c r="B611" s="40"/>
      <c r="C611" s="40"/>
      <c r="D611" s="40"/>
    </row>
    <row r="612">
      <c r="B612" s="40"/>
      <c r="C612" s="40"/>
      <c r="D612" s="40"/>
    </row>
    <row r="613">
      <c r="B613" s="40"/>
      <c r="C613" s="40"/>
      <c r="D613" s="40"/>
    </row>
    <row r="614">
      <c r="B614" s="40"/>
      <c r="C614" s="40"/>
      <c r="D614" s="40"/>
    </row>
    <row r="615">
      <c r="B615" s="40"/>
      <c r="C615" s="40"/>
      <c r="D615" s="40"/>
    </row>
    <row r="616">
      <c r="B616" s="40"/>
      <c r="C616" s="40"/>
      <c r="D616" s="40"/>
    </row>
    <row r="617">
      <c r="B617" s="40"/>
      <c r="C617" s="40"/>
      <c r="D617" s="40"/>
    </row>
    <row r="618">
      <c r="B618" s="40"/>
      <c r="C618" s="40"/>
      <c r="D618" s="40"/>
    </row>
    <row r="619">
      <c r="B619" s="40"/>
      <c r="C619" s="40"/>
      <c r="D619" s="40"/>
    </row>
    <row r="620">
      <c r="B620" s="40"/>
      <c r="C620" s="40"/>
      <c r="D620" s="40"/>
    </row>
    <row r="621">
      <c r="B621" s="40"/>
      <c r="C621" s="40"/>
      <c r="D621" s="40"/>
    </row>
    <row r="622">
      <c r="B622" s="40"/>
      <c r="C622" s="40"/>
      <c r="D622" s="40"/>
    </row>
    <row r="623">
      <c r="B623" s="40"/>
      <c r="C623" s="40"/>
      <c r="D623" s="40"/>
    </row>
    <row r="624">
      <c r="B624" s="40"/>
      <c r="C624" s="40"/>
      <c r="D624" s="40"/>
    </row>
    <row r="625">
      <c r="B625" s="40"/>
      <c r="C625" s="40"/>
      <c r="D625" s="40"/>
    </row>
    <row r="626">
      <c r="B626" s="40"/>
      <c r="C626" s="40"/>
      <c r="D626" s="40"/>
    </row>
    <row r="627">
      <c r="B627" s="40"/>
      <c r="C627" s="40"/>
      <c r="D627" s="40"/>
    </row>
    <row r="628">
      <c r="B628" s="40"/>
      <c r="C628" s="40"/>
      <c r="D628" s="40"/>
    </row>
    <row r="629">
      <c r="B629" s="40"/>
      <c r="C629" s="40"/>
      <c r="D629" s="40"/>
    </row>
    <row r="630">
      <c r="B630" s="40"/>
      <c r="C630" s="40"/>
      <c r="D630" s="40"/>
    </row>
    <row r="631">
      <c r="B631" s="40"/>
      <c r="C631" s="40"/>
      <c r="D631" s="40"/>
    </row>
    <row r="632">
      <c r="B632" s="40"/>
      <c r="C632" s="40"/>
      <c r="D632" s="40"/>
    </row>
    <row r="633">
      <c r="B633" s="40"/>
      <c r="C633" s="40"/>
      <c r="D633" s="40"/>
    </row>
    <row r="634">
      <c r="B634" s="40"/>
      <c r="C634" s="40"/>
      <c r="D634" s="40"/>
    </row>
    <row r="635">
      <c r="B635" s="40"/>
      <c r="C635" s="40"/>
      <c r="D635" s="40"/>
    </row>
    <row r="636">
      <c r="B636" s="40"/>
      <c r="C636" s="40"/>
      <c r="D636" s="40"/>
    </row>
    <row r="637">
      <c r="B637" s="40"/>
      <c r="C637" s="40"/>
      <c r="D637" s="40"/>
    </row>
    <row r="638">
      <c r="B638" s="40"/>
      <c r="C638" s="40"/>
      <c r="D638" s="40"/>
    </row>
    <row r="639">
      <c r="B639" s="40"/>
      <c r="C639" s="40"/>
      <c r="D639" s="40"/>
    </row>
    <row r="640">
      <c r="B640" s="40"/>
      <c r="C640" s="40"/>
      <c r="D640" s="40"/>
    </row>
    <row r="641">
      <c r="B641" s="40"/>
      <c r="C641" s="40"/>
      <c r="D641" s="40"/>
    </row>
    <row r="642">
      <c r="B642" s="40"/>
      <c r="C642" s="40"/>
      <c r="D642" s="40"/>
    </row>
    <row r="643">
      <c r="B643" s="40"/>
      <c r="C643" s="40"/>
      <c r="D643" s="40"/>
    </row>
    <row r="644">
      <c r="B644" s="40"/>
      <c r="C644" s="40"/>
      <c r="D644" s="40"/>
    </row>
    <row r="645">
      <c r="B645" s="40"/>
      <c r="C645" s="40"/>
      <c r="D645" s="40"/>
    </row>
    <row r="646">
      <c r="B646" s="40"/>
      <c r="C646" s="40"/>
      <c r="D646" s="40"/>
    </row>
    <row r="647">
      <c r="B647" s="40"/>
      <c r="C647" s="40"/>
      <c r="D647" s="40"/>
    </row>
    <row r="648">
      <c r="B648" s="40"/>
      <c r="C648" s="40"/>
      <c r="D648" s="40"/>
    </row>
    <row r="649">
      <c r="B649" s="40"/>
      <c r="C649" s="40"/>
      <c r="D649" s="40"/>
    </row>
    <row r="650">
      <c r="B650" s="40"/>
      <c r="C650" s="40"/>
      <c r="D650" s="40"/>
    </row>
    <row r="651">
      <c r="B651" s="40"/>
      <c r="C651" s="40"/>
      <c r="D651" s="40"/>
    </row>
    <row r="652">
      <c r="B652" s="40"/>
      <c r="C652" s="40"/>
      <c r="D652" s="40"/>
    </row>
    <row r="653">
      <c r="B653" s="40"/>
      <c r="C653" s="40"/>
      <c r="D653" s="40"/>
    </row>
    <row r="654">
      <c r="B654" s="40"/>
      <c r="C654" s="40"/>
      <c r="D654" s="40"/>
    </row>
    <row r="655">
      <c r="B655" s="40"/>
      <c r="C655" s="40"/>
      <c r="D655" s="40"/>
    </row>
    <row r="656">
      <c r="B656" s="40"/>
      <c r="C656" s="40"/>
      <c r="D656" s="40"/>
    </row>
    <row r="657">
      <c r="B657" s="40"/>
      <c r="C657" s="40"/>
      <c r="D657" s="40"/>
    </row>
    <row r="658">
      <c r="B658" s="40"/>
      <c r="C658" s="40"/>
      <c r="D658" s="40"/>
    </row>
    <row r="659">
      <c r="B659" s="40"/>
      <c r="C659" s="40"/>
      <c r="D659" s="40"/>
    </row>
    <row r="660">
      <c r="B660" s="40"/>
      <c r="C660" s="40"/>
      <c r="D660" s="40"/>
    </row>
    <row r="661">
      <c r="B661" s="40"/>
      <c r="C661" s="40"/>
      <c r="D661" s="40"/>
    </row>
    <row r="662">
      <c r="B662" s="40"/>
      <c r="C662" s="40"/>
      <c r="D662" s="40"/>
    </row>
    <row r="663">
      <c r="B663" s="40"/>
      <c r="C663" s="40"/>
      <c r="D663" s="40"/>
    </row>
    <row r="664">
      <c r="B664" s="40"/>
      <c r="C664" s="40"/>
      <c r="D664" s="40"/>
    </row>
    <row r="665">
      <c r="B665" s="40"/>
      <c r="C665" s="40"/>
      <c r="D665" s="40"/>
    </row>
    <row r="666">
      <c r="B666" s="40"/>
      <c r="C666" s="40"/>
      <c r="D666" s="40"/>
    </row>
    <row r="667">
      <c r="B667" s="40"/>
      <c r="C667" s="40"/>
      <c r="D667" s="40"/>
    </row>
    <row r="668">
      <c r="B668" s="40"/>
      <c r="C668" s="40"/>
      <c r="D668" s="40"/>
    </row>
    <row r="669">
      <c r="B669" s="40"/>
      <c r="C669" s="40"/>
      <c r="D669" s="40"/>
    </row>
    <row r="670">
      <c r="B670" s="40"/>
      <c r="C670" s="40"/>
      <c r="D670" s="40"/>
    </row>
    <row r="671">
      <c r="B671" s="40"/>
      <c r="C671" s="40"/>
      <c r="D671" s="40"/>
    </row>
    <row r="672">
      <c r="B672" s="40"/>
      <c r="C672" s="40"/>
      <c r="D672" s="40"/>
    </row>
    <row r="673">
      <c r="B673" s="40"/>
      <c r="C673" s="40"/>
      <c r="D673" s="40"/>
    </row>
    <row r="674">
      <c r="B674" s="40"/>
      <c r="C674" s="40"/>
      <c r="D674" s="40"/>
    </row>
    <row r="675">
      <c r="B675" s="40"/>
      <c r="C675" s="40"/>
      <c r="D675" s="40"/>
    </row>
    <row r="676">
      <c r="B676" s="40"/>
      <c r="C676" s="40"/>
      <c r="D676" s="40"/>
    </row>
    <row r="677">
      <c r="B677" s="40"/>
      <c r="C677" s="40"/>
      <c r="D677" s="40"/>
    </row>
    <row r="678">
      <c r="B678" s="40"/>
      <c r="C678" s="40"/>
      <c r="D678" s="40"/>
    </row>
    <row r="679">
      <c r="B679" s="40"/>
      <c r="C679" s="40"/>
      <c r="D679" s="40"/>
    </row>
    <row r="680">
      <c r="B680" s="40"/>
      <c r="C680" s="40"/>
      <c r="D680" s="40"/>
    </row>
    <row r="681">
      <c r="B681" s="40"/>
      <c r="C681" s="40"/>
      <c r="D681" s="40"/>
    </row>
    <row r="682">
      <c r="B682" s="40"/>
      <c r="C682" s="40"/>
      <c r="D682" s="40"/>
    </row>
    <row r="683">
      <c r="B683" s="40"/>
      <c r="C683" s="40"/>
      <c r="D683" s="40"/>
    </row>
    <row r="684">
      <c r="B684" s="40"/>
      <c r="C684" s="40"/>
      <c r="D684" s="40"/>
    </row>
    <row r="685">
      <c r="B685" s="40"/>
      <c r="C685" s="40"/>
      <c r="D685" s="40"/>
    </row>
    <row r="686">
      <c r="B686" s="40"/>
      <c r="C686" s="40"/>
      <c r="D686" s="40"/>
    </row>
    <row r="687">
      <c r="B687" s="40"/>
      <c r="C687" s="40"/>
      <c r="D687" s="40"/>
    </row>
    <row r="688">
      <c r="B688" s="40"/>
      <c r="C688" s="40"/>
      <c r="D688" s="40"/>
    </row>
    <row r="689">
      <c r="B689" s="40"/>
      <c r="C689" s="40"/>
      <c r="D689" s="40"/>
    </row>
    <row r="690">
      <c r="B690" s="40"/>
      <c r="C690" s="40"/>
      <c r="D690" s="40"/>
    </row>
    <row r="691">
      <c r="B691" s="40"/>
      <c r="C691" s="40"/>
      <c r="D691" s="40"/>
    </row>
    <row r="692">
      <c r="B692" s="40"/>
      <c r="C692" s="40"/>
      <c r="D692" s="40"/>
    </row>
    <row r="693">
      <c r="B693" s="40"/>
      <c r="C693" s="40"/>
      <c r="D693" s="40"/>
    </row>
    <row r="694">
      <c r="B694" s="40"/>
      <c r="C694" s="40"/>
      <c r="D694" s="40"/>
    </row>
    <row r="695">
      <c r="B695" s="40"/>
      <c r="C695" s="40"/>
      <c r="D695" s="40"/>
    </row>
    <row r="696">
      <c r="B696" s="40"/>
      <c r="C696" s="40"/>
      <c r="D696" s="40"/>
    </row>
    <row r="697">
      <c r="B697" s="40"/>
      <c r="C697" s="40"/>
      <c r="D697" s="40"/>
    </row>
    <row r="698">
      <c r="B698" s="40"/>
      <c r="C698" s="40"/>
      <c r="D698" s="40"/>
    </row>
    <row r="699">
      <c r="B699" s="40"/>
      <c r="C699" s="40"/>
      <c r="D699" s="40"/>
    </row>
    <row r="700">
      <c r="B700" s="40"/>
      <c r="C700" s="40"/>
      <c r="D700" s="40"/>
    </row>
    <row r="701">
      <c r="B701" s="40"/>
      <c r="C701" s="40"/>
      <c r="D701" s="40"/>
    </row>
    <row r="702">
      <c r="B702" s="40"/>
      <c r="C702" s="40"/>
      <c r="D702" s="40"/>
    </row>
    <row r="703">
      <c r="B703" s="40"/>
      <c r="C703" s="40"/>
      <c r="D703" s="40"/>
    </row>
    <row r="704">
      <c r="B704" s="40"/>
      <c r="C704" s="40"/>
      <c r="D704" s="40"/>
    </row>
    <row r="705">
      <c r="B705" s="40"/>
      <c r="C705" s="40"/>
      <c r="D705" s="40"/>
    </row>
    <row r="706">
      <c r="B706" s="40"/>
      <c r="C706" s="40"/>
      <c r="D706" s="40"/>
    </row>
    <row r="707">
      <c r="B707" s="40"/>
      <c r="C707" s="40"/>
      <c r="D707" s="40"/>
    </row>
    <row r="708">
      <c r="B708" s="40"/>
      <c r="C708" s="40"/>
      <c r="D708" s="40"/>
    </row>
    <row r="709">
      <c r="B709" s="40"/>
      <c r="C709" s="40"/>
      <c r="D709" s="40"/>
    </row>
    <row r="710">
      <c r="B710" s="40"/>
      <c r="C710" s="40"/>
      <c r="D710" s="40"/>
    </row>
    <row r="711">
      <c r="B711" s="40"/>
      <c r="C711" s="40"/>
      <c r="D711" s="40"/>
    </row>
    <row r="712">
      <c r="B712" s="40"/>
      <c r="C712" s="40"/>
      <c r="D712" s="40"/>
    </row>
    <row r="713">
      <c r="B713" s="40"/>
      <c r="C713" s="40"/>
      <c r="D713" s="40"/>
    </row>
    <row r="714">
      <c r="B714" s="40"/>
      <c r="C714" s="40"/>
      <c r="D714" s="40"/>
    </row>
    <row r="715">
      <c r="B715" s="40"/>
      <c r="C715" s="40"/>
      <c r="D715" s="40"/>
    </row>
    <row r="716">
      <c r="B716" s="40"/>
      <c r="C716" s="40"/>
      <c r="D716" s="40"/>
    </row>
    <row r="717">
      <c r="B717" s="40"/>
      <c r="C717" s="40"/>
      <c r="D717" s="40"/>
    </row>
    <row r="718">
      <c r="B718" s="40"/>
      <c r="C718" s="40"/>
      <c r="D718" s="40"/>
    </row>
    <row r="719">
      <c r="B719" s="40"/>
      <c r="C719" s="40"/>
      <c r="D719" s="40"/>
    </row>
    <row r="720">
      <c r="B720" s="40"/>
      <c r="C720" s="40"/>
      <c r="D720" s="40"/>
    </row>
    <row r="721">
      <c r="B721" s="40"/>
      <c r="C721" s="40"/>
      <c r="D721" s="40"/>
    </row>
    <row r="722">
      <c r="B722" s="40"/>
      <c r="C722" s="40"/>
      <c r="D722" s="40"/>
    </row>
    <row r="723">
      <c r="B723" s="40"/>
      <c r="C723" s="40"/>
      <c r="D723" s="40"/>
    </row>
    <row r="724">
      <c r="B724" s="40"/>
      <c r="C724" s="40"/>
      <c r="D724" s="40"/>
    </row>
    <row r="725">
      <c r="B725" s="40"/>
      <c r="C725" s="40"/>
      <c r="D725" s="40"/>
    </row>
    <row r="726">
      <c r="B726" s="40"/>
      <c r="C726" s="40"/>
      <c r="D726" s="40"/>
    </row>
    <row r="727">
      <c r="B727" s="40"/>
      <c r="C727" s="40"/>
      <c r="D727" s="40"/>
    </row>
    <row r="728">
      <c r="B728" s="40"/>
      <c r="C728" s="40"/>
      <c r="D728" s="40"/>
    </row>
    <row r="729">
      <c r="B729" s="40"/>
      <c r="C729" s="40"/>
      <c r="D729" s="40"/>
    </row>
    <row r="730">
      <c r="B730" s="40"/>
      <c r="C730" s="40"/>
      <c r="D730" s="40"/>
    </row>
    <row r="731">
      <c r="B731" s="40"/>
      <c r="C731" s="40"/>
      <c r="D731" s="40"/>
    </row>
    <row r="732">
      <c r="B732" s="40"/>
      <c r="C732" s="40"/>
      <c r="D732" s="40"/>
    </row>
    <row r="733">
      <c r="B733" s="40"/>
      <c r="C733" s="40"/>
      <c r="D733" s="40"/>
    </row>
    <row r="734">
      <c r="B734" s="40"/>
      <c r="C734" s="40"/>
      <c r="D734" s="40"/>
    </row>
    <row r="735">
      <c r="B735" s="40"/>
      <c r="C735" s="40"/>
      <c r="D735" s="40"/>
    </row>
    <row r="736">
      <c r="B736" s="40"/>
      <c r="C736" s="40"/>
      <c r="D736" s="40"/>
    </row>
    <row r="737">
      <c r="B737" s="40"/>
      <c r="C737" s="40"/>
      <c r="D737" s="40"/>
    </row>
    <row r="738">
      <c r="B738" s="40"/>
      <c r="C738" s="40"/>
      <c r="D738" s="40"/>
    </row>
    <row r="739">
      <c r="B739" s="40"/>
      <c r="C739" s="40"/>
      <c r="D739" s="40"/>
    </row>
    <row r="740">
      <c r="B740" s="40"/>
      <c r="C740" s="40"/>
      <c r="D740" s="40"/>
    </row>
    <row r="741">
      <c r="B741" s="40"/>
      <c r="C741" s="40"/>
      <c r="D741" s="40"/>
    </row>
    <row r="742">
      <c r="B742" s="40"/>
      <c r="C742" s="40"/>
      <c r="D742" s="40"/>
    </row>
    <row r="743">
      <c r="B743" s="40"/>
      <c r="C743" s="40"/>
      <c r="D743" s="40"/>
    </row>
    <row r="744">
      <c r="B744" s="40"/>
      <c r="C744" s="40"/>
      <c r="D744" s="40"/>
    </row>
    <row r="745">
      <c r="B745" s="40"/>
      <c r="C745" s="40"/>
      <c r="D745" s="40"/>
    </row>
    <row r="746">
      <c r="B746" s="40"/>
      <c r="C746" s="40"/>
      <c r="D746" s="40"/>
    </row>
    <row r="747">
      <c r="B747" s="40"/>
      <c r="C747" s="40"/>
      <c r="D747" s="40"/>
    </row>
    <row r="748">
      <c r="B748" s="40"/>
      <c r="C748" s="40"/>
      <c r="D748" s="40"/>
    </row>
    <row r="749">
      <c r="B749" s="40"/>
      <c r="C749" s="40"/>
      <c r="D749" s="40"/>
    </row>
    <row r="750">
      <c r="B750" s="40"/>
      <c r="C750" s="40"/>
      <c r="D750" s="40"/>
    </row>
    <row r="751">
      <c r="B751" s="40"/>
      <c r="C751" s="40"/>
      <c r="D751" s="40"/>
    </row>
    <row r="752">
      <c r="B752" s="40"/>
      <c r="C752" s="40"/>
      <c r="D752" s="40"/>
    </row>
    <row r="753">
      <c r="B753" s="40"/>
      <c r="C753" s="40"/>
      <c r="D753" s="40"/>
    </row>
    <row r="754">
      <c r="B754" s="40"/>
      <c r="C754" s="40"/>
      <c r="D754" s="40"/>
    </row>
    <row r="755">
      <c r="B755" s="40"/>
      <c r="C755" s="40"/>
      <c r="D755" s="40"/>
    </row>
    <row r="756">
      <c r="B756" s="40"/>
      <c r="C756" s="40"/>
      <c r="D756" s="40"/>
    </row>
    <row r="757">
      <c r="B757" s="40"/>
      <c r="C757" s="40"/>
      <c r="D757" s="40"/>
    </row>
    <row r="758">
      <c r="B758" s="40"/>
      <c r="C758" s="40"/>
      <c r="D758" s="40"/>
    </row>
    <row r="759">
      <c r="B759" s="40"/>
      <c r="C759" s="40"/>
      <c r="D759" s="40"/>
    </row>
    <row r="760">
      <c r="B760" s="40"/>
      <c r="C760" s="40"/>
      <c r="D760" s="40"/>
    </row>
    <row r="761">
      <c r="B761" s="40"/>
      <c r="C761" s="40"/>
      <c r="D761" s="40"/>
    </row>
    <row r="762">
      <c r="B762" s="40"/>
      <c r="C762" s="40"/>
      <c r="D762" s="40"/>
    </row>
    <row r="763">
      <c r="B763" s="40"/>
      <c r="C763" s="40"/>
      <c r="D763" s="40"/>
    </row>
    <row r="764">
      <c r="B764" s="40"/>
      <c r="C764" s="40"/>
      <c r="D764" s="40"/>
    </row>
    <row r="765">
      <c r="B765" s="40"/>
      <c r="C765" s="40"/>
      <c r="D765" s="40"/>
    </row>
    <row r="766">
      <c r="B766" s="40"/>
      <c r="C766" s="40"/>
      <c r="D766" s="40"/>
    </row>
    <row r="767">
      <c r="B767" s="40"/>
      <c r="C767" s="40"/>
      <c r="D767" s="40"/>
    </row>
    <row r="768">
      <c r="B768" s="40"/>
      <c r="C768" s="40"/>
      <c r="D768" s="40"/>
    </row>
    <row r="769">
      <c r="B769" s="40"/>
      <c r="C769" s="40"/>
      <c r="D769" s="40"/>
    </row>
    <row r="770">
      <c r="B770" s="40"/>
      <c r="C770" s="40"/>
      <c r="D770" s="40"/>
    </row>
    <row r="771">
      <c r="B771" s="40"/>
      <c r="C771" s="40"/>
      <c r="D771" s="40"/>
    </row>
    <row r="772">
      <c r="B772" s="40"/>
      <c r="C772" s="40"/>
      <c r="D772" s="40"/>
    </row>
    <row r="773">
      <c r="B773" s="40"/>
      <c r="C773" s="40"/>
      <c r="D773" s="40"/>
    </row>
    <row r="774">
      <c r="B774" s="40"/>
      <c r="C774" s="40"/>
      <c r="D774" s="40"/>
    </row>
    <row r="775">
      <c r="B775" s="40"/>
      <c r="C775" s="40"/>
      <c r="D775" s="40"/>
    </row>
    <row r="776">
      <c r="B776" s="40"/>
      <c r="C776" s="40"/>
      <c r="D776" s="40"/>
    </row>
    <row r="777">
      <c r="B777" s="40"/>
      <c r="C777" s="40"/>
      <c r="D777" s="40"/>
    </row>
    <row r="778">
      <c r="B778" s="40"/>
      <c r="C778" s="40"/>
      <c r="D778" s="40"/>
    </row>
    <row r="779">
      <c r="B779" s="40"/>
      <c r="C779" s="40"/>
      <c r="D779" s="40"/>
    </row>
    <row r="780">
      <c r="B780" s="40"/>
      <c r="C780" s="40"/>
      <c r="D780" s="40"/>
    </row>
    <row r="781">
      <c r="B781" s="40"/>
      <c r="C781" s="40"/>
      <c r="D781" s="40"/>
    </row>
    <row r="782">
      <c r="B782" s="40"/>
      <c r="C782" s="40"/>
      <c r="D782" s="40"/>
    </row>
    <row r="783">
      <c r="B783" s="40"/>
      <c r="C783" s="40"/>
      <c r="D783" s="40"/>
    </row>
    <row r="784">
      <c r="B784" s="40"/>
      <c r="C784" s="40"/>
      <c r="D784" s="40"/>
    </row>
    <row r="785">
      <c r="B785" s="40"/>
      <c r="C785" s="40"/>
      <c r="D785" s="40"/>
    </row>
    <row r="786">
      <c r="B786" s="40"/>
      <c r="C786" s="40"/>
      <c r="D786" s="40"/>
    </row>
    <row r="787">
      <c r="B787" s="40"/>
      <c r="C787" s="40"/>
      <c r="D787" s="40"/>
    </row>
    <row r="788">
      <c r="B788" s="40"/>
      <c r="C788" s="40"/>
      <c r="D788" s="40"/>
    </row>
    <row r="789">
      <c r="B789" s="40"/>
      <c r="C789" s="40"/>
      <c r="D789" s="40"/>
    </row>
    <row r="790">
      <c r="B790" s="40"/>
      <c r="C790" s="40"/>
      <c r="D790" s="40"/>
    </row>
    <row r="791">
      <c r="B791" s="40"/>
      <c r="C791" s="40"/>
      <c r="D791" s="40"/>
    </row>
    <row r="792">
      <c r="B792" s="40"/>
      <c r="C792" s="40"/>
      <c r="D792" s="40"/>
    </row>
    <row r="793">
      <c r="B793" s="40"/>
      <c r="C793" s="40"/>
      <c r="D793" s="40"/>
    </row>
    <row r="794">
      <c r="B794" s="40"/>
      <c r="C794" s="40"/>
      <c r="D794" s="40"/>
    </row>
    <row r="795">
      <c r="B795" s="40"/>
      <c r="C795" s="40"/>
      <c r="D795" s="40"/>
    </row>
    <row r="796">
      <c r="B796" s="40"/>
      <c r="C796" s="40"/>
      <c r="D796" s="40"/>
    </row>
    <row r="797">
      <c r="B797" s="40"/>
      <c r="C797" s="40"/>
      <c r="D797" s="40"/>
    </row>
    <row r="798">
      <c r="B798" s="40"/>
      <c r="C798" s="40"/>
      <c r="D798" s="40"/>
    </row>
    <row r="799">
      <c r="B799" s="40"/>
      <c r="C799" s="40"/>
      <c r="D799" s="40"/>
    </row>
    <row r="800">
      <c r="B800" s="40"/>
      <c r="C800" s="40"/>
      <c r="D800" s="40"/>
    </row>
    <row r="801">
      <c r="B801" s="40"/>
      <c r="C801" s="40"/>
      <c r="D801" s="40"/>
    </row>
    <row r="802">
      <c r="B802" s="40"/>
      <c r="C802" s="40"/>
      <c r="D802" s="40"/>
    </row>
    <row r="803">
      <c r="B803" s="40"/>
      <c r="C803" s="40"/>
      <c r="D803" s="40"/>
    </row>
    <row r="804">
      <c r="B804" s="40"/>
      <c r="C804" s="40"/>
      <c r="D804" s="40"/>
    </row>
    <row r="805">
      <c r="B805" s="40"/>
      <c r="C805" s="40"/>
      <c r="D805" s="40"/>
    </row>
    <row r="806">
      <c r="B806" s="40"/>
      <c r="C806" s="40"/>
      <c r="D806" s="40"/>
    </row>
    <row r="807">
      <c r="B807" s="40"/>
      <c r="C807" s="40"/>
      <c r="D807" s="40"/>
    </row>
    <row r="808">
      <c r="B808" s="40"/>
      <c r="C808" s="40"/>
      <c r="D808" s="40"/>
    </row>
    <row r="809">
      <c r="B809" s="40"/>
      <c r="C809" s="40"/>
      <c r="D809" s="40"/>
    </row>
    <row r="810">
      <c r="B810" s="40"/>
      <c r="C810" s="40"/>
      <c r="D810" s="40"/>
    </row>
    <row r="811">
      <c r="B811" s="40"/>
      <c r="C811" s="40"/>
      <c r="D811" s="40"/>
    </row>
    <row r="812">
      <c r="B812" s="40"/>
      <c r="C812" s="40"/>
      <c r="D812" s="40"/>
    </row>
    <row r="813">
      <c r="B813" s="40"/>
      <c r="C813" s="40"/>
      <c r="D813" s="40"/>
    </row>
    <row r="814">
      <c r="B814" s="40"/>
      <c r="C814" s="40"/>
      <c r="D814" s="40"/>
    </row>
    <row r="815">
      <c r="B815" s="40"/>
      <c r="C815" s="40"/>
      <c r="D815" s="40"/>
    </row>
    <row r="816">
      <c r="B816" s="40"/>
      <c r="C816" s="40"/>
      <c r="D816" s="40"/>
    </row>
    <row r="817">
      <c r="B817" s="40"/>
      <c r="C817" s="40"/>
      <c r="D817" s="40"/>
    </row>
    <row r="818">
      <c r="B818" s="40"/>
      <c r="C818" s="40"/>
      <c r="D818" s="40"/>
    </row>
    <row r="819">
      <c r="B819" s="40"/>
      <c r="C819" s="40"/>
      <c r="D819" s="40"/>
    </row>
    <row r="820">
      <c r="B820" s="40"/>
      <c r="C820" s="40"/>
      <c r="D820" s="40"/>
    </row>
    <row r="821">
      <c r="B821" s="40"/>
      <c r="C821" s="40"/>
      <c r="D821" s="40"/>
    </row>
    <row r="822">
      <c r="B822" s="40"/>
      <c r="C822" s="40"/>
      <c r="D822" s="40"/>
    </row>
    <row r="823">
      <c r="B823" s="40"/>
      <c r="C823" s="40"/>
      <c r="D823" s="40"/>
    </row>
    <row r="824">
      <c r="B824" s="40"/>
      <c r="C824" s="40"/>
      <c r="D824" s="40"/>
    </row>
    <row r="825">
      <c r="B825" s="40"/>
      <c r="C825" s="40"/>
      <c r="D825" s="40"/>
    </row>
    <row r="826">
      <c r="B826" s="40"/>
      <c r="C826" s="40"/>
      <c r="D826" s="40"/>
    </row>
    <row r="827">
      <c r="B827" s="40"/>
      <c r="C827" s="40"/>
      <c r="D827" s="40"/>
    </row>
    <row r="828">
      <c r="B828" s="40"/>
      <c r="C828" s="40"/>
      <c r="D828" s="40"/>
    </row>
    <row r="829">
      <c r="B829" s="40"/>
      <c r="C829" s="40"/>
      <c r="D829" s="40"/>
    </row>
    <row r="830">
      <c r="B830" s="40"/>
      <c r="C830" s="40"/>
      <c r="D830" s="40"/>
    </row>
    <row r="831">
      <c r="B831" s="40"/>
      <c r="C831" s="40"/>
      <c r="D831" s="40"/>
    </row>
    <row r="832">
      <c r="B832" s="40"/>
      <c r="C832" s="40"/>
      <c r="D832" s="40"/>
    </row>
    <row r="833">
      <c r="B833" s="40"/>
      <c r="C833" s="40"/>
      <c r="D833" s="40"/>
    </row>
    <row r="834">
      <c r="B834" s="40"/>
      <c r="C834" s="40"/>
      <c r="D834" s="40"/>
    </row>
    <row r="835">
      <c r="B835" s="40"/>
      <c r="C835" s="40"/>
      <c r="D835" s="40"/>
    </row>
    <row r="836">
      <c r="B836" s="40"/>
      <c r="C836" s="40"/>
      <c r="D836" s="40"/>
    </row>
    <row r="837">
      <c r="B837" s="40"/>
      <c r="C837" s="40"/>
      <c r="D837" s="40"/>
    </row>
    <row r="838">
      <c r="B838" s="40"/>
      <c r="C838" s="40"/>
      <c r="D838" s="40"/>
    </row>
    <row r="839">
      <c r="B839" s="40"/>
      <c r="C839" s="40"/>
      <c r="D839" s="40"/>
    </row>
    <row r="840">
      <c r="B840" s="40"/>
      <c r="C840" s="40"/>
      <c r="D840" s="40"/>
    </row>
    <row r="841">
      <c r="B841" s="40"/>
      <c r="C841" s="40"/>
      <c r="D841" s="40"/>
    </row>
    <row r="842">
      <c r="B842" s="40"/>
      <c r="C842" s="40"/>
      <c r="D842" s="40"/>
    </row>
    <row r="843">
      <c r="B843" s="40"/>
      <c r="C843" s="40"/>
      <c r="D843" s="40"/>
    </row>
    <row r="844">
      <c r="B844" s="40"/>
      <c r="C844" s="40"/>
      <c r="D844" s="40"/>
    </row>
    <row r="845">
      <c r="B845" s="40"/>
      <c r="C845" s="40"/>
      <c r="D845" s="40"/>
    </row>
    <row r="846">
      <c r="B846" s="40"/>
      <c r="C846" s="40"/>
      <c r="D846" s="40"/>
    </row>
    <row r="847">
      <c r="B847" s="40"/>
      <c r="C847" s="40"/>
      <c r="D847" s="40"/>
    </row>
    <row r="848">
      <c r="B848" s="40"/>
      <c r="C848" s="40"/>
      <c r="D848" s="40"/>
    </row>
    <row r="849">
      <c r="B849" s="40"/>
      <c r="C849" s="40"/>
      <c r="D849" s="40"/>
    </row>
    <row r="850">
      <c r="B850" s="40"/>
      <c r="C850" s="40"/>
      <c r="D850" s="40"/>
    </row>
    <row r="851">
      <c r="B851" s="40"/>
      <c r="C851" s="40"/>
      <c r="D851" s="40"/>
    </row>
    <row r="852">
      <c r="B852" s="40"/>
      <c r="C852" s="40"/>
      <c r="D852" s="40"/>
    </row>
    <row r="853">
      <c r="B853" s="40"/>
      <c r="C853" s="40"/>
      <c r="D853" s="40"/>
    </row>
    <row r="854">
      <c r="B854" s="40"/>
      <c r="C854" s="40"/>
      <c r="D854" s="40"/>
    </row>
    <row r="855">
      <c r="B855" s="40"/>
      <c r="C855" s="40"/>
      <c r="D855" s="40"/>
    </row>
    <row r="856">
      <c r="B856" s="40"/>
      <c r="C856" s="40"/>
      <c r="D856" s="40"/>
    </row>
    <row r="857">
      <c r="B857" s="40"/>
      <c r="C857" s="40"/>
      <c r="D857" s="40"/>
    </row>
    <row r="858">
      <c r="B858" s="40"/>
      <c r="C858" s="40"/>
      <c r="D858" s="40"/>
    </row>
    <row r="859">
      <c r="B859" s="40"/>
      <c r="C859" s="40"/>
      <c r="D859" s="40"/>
    </row>
    <row r="860">
      <c r="B860" s="40"/>
      <c r="C860" s="40"/>
      <c r="D860" s="40"/>
    </row>
    <row r="861">
      <c r="B861" s="40"/>
      <c r="C861" s="40"/>
      <c r="D861" s="40"/>
    </row>
    <row r="862">
      <c r="B862" s="40"/>
      <c r="C862" s="40"/>
      <c r="D862" s="40"/>
    </row>
    <row r="863">
      <c r="B863" s="40"/>
      <c r="C863" s="40"/>
      <c r="D863" s="40"/>
    </row>
    <row r="864">
      <c r="B864" s="40"/>
      <c r="C864" s="40"/>
      <c r="D864" s="40"/>
    </row>
    <row r="865">
      <c r="B865" s="40"/>
      <c r="C865" s="40"/>
      <c r="D865" s="40"/>
    </row>
    <row r="866">
      <c r="B866" s="40"/>
      <c r="C866" s="40"/>
      <c r="D866" s="40"/>
    </row>
    <row r="867">
      <c r="B867" s="40"/>
      <c r="C867" s="40"/>
      <c r="D867" s="40"/>
    </row>
    <row r="868">
      <c r="B868" s="40"/>
      <c r="C868" s="40"/>
      <c r="D868" s="40"/>
    </row>
    <row r="869">
      <c r="B869" s="40"/>
      <c r="C869" s="40"/>
      <c r="D869" s="40"/>
    </row>
    <row r="870">
      <c r="B870" s="40"/>
      <c r="C870" s="40"/>
      <c r="D870" s="40"/>
    </row>
    <row r="871">
      <c r="B871" s="40"/>
      <c r="C871" s="40"/>
      <c r="D871" s="40"/>
    </row>
    <row r="872">
      <c r="B872" s="40"/>
      <c r="C872" s="40"/>
      <c r="D872" s="40"/>
    </row>
    <row r="873">
      <c r="B873" s="40"/>
      <c r="C873" s="40"/>
      <c r="D873" s="40"/>
    </row>
    <row r="874">
      <c r="B874" s="40"/>
      <c r="C874" s="40"/>
      <c r="D874" s="40"/>
    </row>
    <row r="875">
      <c r="B875" s="40"/>
      <c r="C875" s="40"/>
      <c r="D875" s="40"/>
    </row>
    <row r="876">
      <c r="B876" s="40"/>
      <c r="C876" s="40"/>
      <c r="D876" s="40"/>
    </row>
    <row r="877">
      <c r="B877" s="40"/>
      <c r="C877" s="40"/>
      <c r="D877" s="40"/>
    </row>
    <row r="878">
      <c r="B878" s="40"/>
      <c r="C878" s="40"/>
      <c r="D878" s="40"/>
    </row>
    <row r="879">
      <c r="B879" s="40"/>
      <c r="C879" s="40"/>
      <c r="D879" s="40"/>
    </row>
    <row r="880">
      <c r="B880" s="40"/>
      <c r="C880" s="40"/>
      <c r="D880" s="40"/>
    </row>
    <row r="881">
      <c r="B881" s="40"/>
      <c r="C881" s="40"/>
      <c r="D881" s="40"/>
    </row>
    <row r="882">
      <c r="B882" s="40"/>
      <c r="C882" s="40"/>
      <c r="D882" s="40"/>
    </row>
    <row r="883">
      <c r="B883" s="40"/>
      <c r="C883" s="40"/>
      <c r="D883" s="40"/>
    </row>
    <row r="884">
      <c r="B884" s="40"/>
      <c r="C884" s="40"/>
      <c r="D884" s="40"/>
    </row>
    <row r="885">
      <c r="B885" s="40"/>
      <c r="C885" s="40"/>
      <c r="D885" s="40"/>
    </row>
    <row r="886">
      <c r="B886" s="40"/>
      <c r="C886" s="40"/>
      <c r="D886" s="40"/>
    </row>
    <row r="887">
      <c r="B887" s="40"/>
      <c r="C887" s="40"/>
      <c r="D887" s="40"/>
    </row>
    <row r="888">
      <c r="B888" s="40"/>
      <c r="C888" s="40"/>
      <c r="D888" s="40"/>
    </row>
    <row r="889">
      <c r="B889" s="40"/>
      <c r="C889" s="40"/>
      <c r="D889" s="40"/>
    </row>
    <row r="890">
      <c r="B890" s="40"/>
      <c r="C890" s="40"/>
      <c r="D890" s="40"/>
    </row>
    <row r="891">
      <c r="B891" s="40"/>
      <c r="C891" s="40"/>
      <c r="D891" s="40"/>
    </row>
    <row r="892">
      <c r="B892" s="40"/>
      <c r="C892" s="40"/>
      <c r="D892" s="40"/>
    </row>
    <row r="893">
      <c r="B893" s="40"/>
      <c r="C893" s="40"/>
      <c r="D893" s="40"/>
    </row>
    <row r="894">
      <c r="B894" s="40"/>
      <c r="C894" s="40"/>
      <c r="D894" s="40"/>
    </row>
    <row r="895">
      <c r="B895" s="40"/>
      <c r="C895" s="40"/>
      <c r="D895" s="40"/>
    </row>
    <row r="896">
      <c r="B896" s="40"/>
      <c r="C896" s="40"/>
      <c r="D896" s="40"/>
    </row>
    <row r="897">
      <c r="B897" s="40"/>
      <c r="C897" s="40"/>
      <c r="D897" s="40"/>
    </row>
    <row r="898">
      <c r="B898" s="40"/>
      <c r="C898" s="40"/>
      <c r="D898" s="40"/>
    </row>
    <row r="899">
      <c r="B899" s="40"/>
      <c r="C899" s="40"/>
      <c r="D899" s="40"/>
    </row>
    <row r="900">
      <c r="B900" s="40"/>
      <c r="C900" s="40"/>
      <c r="D900" s="40"/>
    </row>
    <row r="901">
      <c r="B901" s="40"/>
      <c r="C901" s="40"/>
      <c r="D901" s="40"/>
    </row>
    <row r="902">
      <c r="B902" s="40"/>
      <c r="C902" s="40"/>
      <c r="D902" s="40"/>
    </row>
    <row r="903">
      <c r="B903" s="40"/>
      <c r="C903" s="40"/>
      <c r="D903" s="40"/>
    </row>
    <row r="904">
      <c r="B904" s="40"/>
      <c r="C904" s="40"/>
      <c r="D904" s="40"/>
    </row>
    <row r="905">
      <c r="B905" s="40"/>
      <c r="C905" s="40"/>
      <c r="D905" s="40"/>
    </row>
    <row r="906">
      <c r="B906" s="40"/>
      <c r="C906" s="40"/>
      <c r="D906" s="40"/>
    </row>
    <row r="907">
      <c r="B907" s="40"/>
      <c r="C907" s="40"/>
      <c r="D907" s="40"/>
    </row>
    <row r="908">
      <c r="B908" s="40"/>
      <c r="C908" s="40"/>
      <c r="D908" s="40"/>
    </row>
    <row r="909">
      <c r="B909" s="40"/>
      <c r="C909" s="40"/>
      <c r="D909" s="40"/>
    </row>
    <row r="910">
      <c r="B910" s="40"/>
      <c r="C910" s="40"/>
      <c r="D910" s="40"/>
    </row>
    <row r="911">
      <c r="B911" s="40"/>
      <c r="C911" s="40"/>
      <c r="D911" s="40"/>
    </row>
    <row r="912">
      <c r="B912" s="40"/>
      <c r="C912" s="40"/>
      <c r="D912" s="40"/>
    </row>
    <row r="913">
      <c r="B913" s="40"/>
      <c r="C913" s="40"/>
      <c r="D913" s="40"/>
    </row>
    <row r="914">
      <c r="B914" s="40"/>
      <c r="C914" s="40"/>
      <c r="D914" s="40"/>
    </row>
    <row r="915">
      <c r="B915" s="40"/>
      <c r="C915" s="40"/>
      <c r="D915" s="40"/>
    </row>
    <row r="916">
      <c r="B916" s="40"/>
      <c r="C916" s="40"/>
      <c r="D916" s="40"/>
    </row>
    <row r="917">
      <c r="B917" s="40"/>
      <c r="C917" s="40"/>
      <c r="D917" s="40"/>
    </row>
    <row r="918">
      <c r="B918" s="40"/>
      <c r="C918" s="40"/>
      <c r="D918" s="40"/>
    </row>
    <row r="919">
      <c r="B919" s="40"/>
      <c r="C919" s="40"/>
      <c r="D919" s="40"/>
    </row>
    <row r="920">
      <c r="B920" s="40"/>
      <c r="C920" s="40"/>
      <c r="D920" s="40"/>
    </row>
    <row r="921">
      <c r="B921" s="40"/>
      <c r="C921" s="40"/>
      <c r="D921" s="40"/>
    </row>
    <row r="922">
      <c r="B922" s="40"/>
      <c r="C922" s="40"/>
      <c r="D922" s="40"/>
    </row>
    <row r="923">
      <c r="B923" s="40"/>
      <c r="C923" s="40"/>
      <c r="D923" s="40"/>
    </row>
    <row r="924">
      <c r="B924" s="40"/>
      <c r="C924" s="40"/>
      <c r="D924" s="40"/>
    </row>
    <row r="925">
      <c r="B925" s="40"/>
      <c r="C925" s="40"/>
      <c r="D925" s="40"/>
    </row>
    <row r="926">
      <c r="B926" s="40"/>
      <c r="C926" s="40"/>
      <c r="D926" s="40"/>
    </row>
    <row r="927">
      <c r="B927" s="40"/>
      <c r="C927" s="40"/>
      <c r="D927" s="40"/>
    </row>
    <row r="928">
      <c r="B928" s="40"/>
      <c r="C928" s="40"/>
      <c r="D928" s="40"/>
    </row>
    <row r="929">
      <c r="B929" s="40"/>
      <c r="C929" s="40"/>
      <c r="D929" s="40"/>
    </row>
    <row r="930">
      <c r="B930" s="40"/>
      <c r="C930" s="40"/>
      <c r="D930" s="40"/>
    </row>
    <row r="931">
      <c r="B931" s="40"/>
      <c r="C931" s="40"/>
      <c r="D931" s="40"/>
    </row>
    <row r="932">
      <c r="B932" s="40"/>
      <c r="C932" s="40"/>
      <c r="D932" s="40"/>
    </row>
    <row r="933">
      <c r="B933" s="40"/>
      <c r="C933" s="40"/>
      <c r="D933" s="40"/>
    </row>
    <row r="934">
      <c r="B934" s="40"/>
      <c r="C934" s="40"/>
      <c r="D934" s="40"/>
    </row>
    <row r="935">
      <c r="B935" s="40"/>
      <c r="C935" s="40"/>
      <c r="D935" s="40"/>
    </row>
    <row r="936">
      <c r="B936" s="40"/>
      <c r="C936" s="40"/>
      <c r="D936" s="40"/>
    </row>
    <row r="937">
      <c r="B937" s="40"/>
      <c r="C937" s="40"/>
      <c r="D937" s="40"/>
    </row>
    <row r="938">
      <c r="B938" s="40"/>
      <c r="C938" s="40"/>
      <c r="D938" s="40"/>
    </row>
    <row r="939">
      <c r="B939" s="40"/>
      <c r="C939" s="40"/>
      <c r="D939" s="40"/>
    </row>
    <row r="940">
      <c r="B940" s="40"/>
      <c r="C940" s="40"/>
      <c r="D940" s="40"/>
    </row>
    <row r="941">
      <c r="B941" s="40"/>
      <c r="C941" s="40"/>
      <c r="D941" s="40"/>
    </row>
    <row r="942">
      <c r="B942" s="40"/>
      <c r="C942" s="40"/>
      <c r="D942" s="40"/>
    </row>
    <row r="943">
      <c r="B943" s="40"/>
      <c r="C943" s="40"/>
      <c r="D943" s="40"/>
    </row>
    <row r="944">
      <c r="B944" s="40"/>
      <c r="C944" s="40"/>
      <c r="D944" s="40"/>
    </row>
    <row r="945">
      <c r="B945" s="40"/>
      <c r="C945" s="40"/>
      <c r="D945" s="40"/>
    </row>
    <row r="946">
      <c r="B946" s="40"/>
      <c r="C946" s="40"/>
      <c r="D946" s="40"/>
    </row>
    <row r="947">
      <c r="B947" s="40"/>
      <c r="C947" s="40"/>
      <c r="D947" s="40"/>
    </row>
    <row r="948">
      <c r="B948" s="40"/>
      <c r="C948" s="40"/>
      <c r="D948" s="40"/>
    </row>
    <row r="949">
      <c r="B949" s="40"/>
      <c r="C949" s="40"/>
      <c r="D949" s="40"/>
    </row>
    <row r="950">
      <c r="B950" s="40"/>
      <c r="C950" s="40"/>
      <c r="D950" s="40"/>
    </row>
    <row r="951">
      <c r="B951" s="40"/>
      <c r="C951" s="40"/>
      <c r="D951" s="40"/>
    </row>
    <row r="952">
      <c r="B952" s="40"/>
      <c r="C952" s="40"/>
      <c r="D952" s="40"/>
    </row>
    <row r="953">
      <c r="B953" s="40"/>
      <c r="C953" s="40"/>
      <c r="D953" s="40"/>
    </row>
    <row r="954">
      <c r="B954" s="40"/>
      <c r="C954" s="40"/>
      <c r="D954" s="40"/>
    </row>
    <row r="955">
      <c r="B955" s="40"/>
      <c r="C955" s="40"/>
      <c r="D955" s="40"/>
    </row>
    <row r="956">
      <c r="B956" s="40"/>
      <c r="C956" s="40"/>
      <c r="D956" s="40"/>
    </row>
    <row r="957">
      <c r="B957" s="40"/>
      <c r="C957" s="40"/>
      <c r="D957" s="40"/>
    </row>
    <row r="958">
      <c r="B958" s="40"/>
      <c r="C958" s="40"/>
      <c r="D958" s="40"/>
    </row>
    <row r="959">
      <c r="B959" s="40"/>
      <c r="C959" s="40"/>
      <c r="D959" s="40"/>
    </row>
    <row r="960">
      <c r="B960" s="40"/>
      <c r="C960" s="40"/>
      <c r="D960" s="40"/>
    </row>
    <row r="961">
      <c r="B961" s="40"/>
      <c r="C961" s="40"/>
      <c r="D961" s="40"/>
    </row>
    <row r="962">
      <c r="B962" s="40"/>
      <c r="C962" s="40"/>
      <c r="D962" s="40"/>
    </row>
    <row r="963">
      <c r="B963" s="40"/>
      <c r="C963" s="40"/>
      <c r="D963" s="40"/>
    </row>
    <row r="964">
      <c r="B964" s="40"/>
      <c r="C964" s="40"/>
      <c r="D964" s="40"/>
    </row>
    <row r="965">
      <c r="B965" s="40"/>
      <c r="C965" s="40"/>
      <c r="D965" s="40"/>
    </row>
    <row r="966">
      <c r="B966" s="40"/>
      <c r="C966" s="40"/>
      <c r="D966" s="40"/>
    </row>
    <row r="967">
      <c r="B967" s="40"/>
      <c r="C967" s="40"/>
      <c r="D967" s="40"/>
    </row>
    <row r="968">
      <c r="B968" s="40"/>
      <c r="C968" s="40"/>
      <c r="D968" s="40"/>
    </row>
    <row r="969">
      <c r="B969" s="40"/>
      <c r="C969" s="40"/>
      <c r="D969" s="40"/>
    </row>
    <row r="970">
      <c r="B970" s="40"/>
      <c r="C970" s="40"/>
      <c r="D970" s="40"/>
    </row>
    <row r="971">
      <c r="B971" s="40"/>
      <c r="C971" s="40"/>
      <c r="D971" s="40"/>
    </row>
    <row r="972">
      <c r="B972" s="40"/>
      <c r="C972" s="40"/>
      <c r="D972" s="40"/>
    </row>
    <row r="973">
      <c r="B973" s="40"/>
      <c r="C973" s="40"/>
      <c r="D973" s="40"/>
    </row>
    <row r="974">
      <c r="B974" s="40"/>
      <c r="C974" s="40"/>
      <c r="D974" s="40"/>
    </row>
    <row r="975">
      <c r="B975" s="40"/>
      <c r="C975" s="40"/>
      <c r="D975" s="40"/>
    </row>
    <row r="976">
      <c r="B976" s="40"/>
      <c r="C976" s="40"/>
      <c r="D976" s="40"/>
    </row>
    <row r="977">
      <c r="B977" s="40"/>
      <c r="C977" s="40"/>
      <c r="D977" s="40"/>
    </row>
    <row r="978">
      <c r="B978" s="40"/>
      <c r="C978" s="40"/>
      <c r="D978" s="40"/>
    </row>
    <row r="979">
      <c r="B979" s="40"/>
      <c r="C979" s="40"/>
      <c r="D979" s="40"/>
    </row>
    <row r="980">
      <c r="B980" s="40"/>
      <c r="C980" s="40"/>
      <c r="D980" s="40"/>
    </row>
    <row r="981">
      <c r="B981" s="40"/>
      <c r="C981" s="40"/>
      <c r="D981" s="40"/>
    </row>
    <row r="982">
      <c r="B982" s="40"/>
      <c r="C982" s="40"/>
      <c r="D982" s="40"/>
    </row>
    <row r="983">
      <c r="B983" s="40"/>
      <c r="C983" s="40"/>
      <c r="D983" s="40"/>
    </row>
    <row r="984">
      <c r="B984" s="40"/>
      <c r="C984" s="40"/>
      <c r="D984" s="40"/>
    </row>
    <row r="985">
      <c r="B985" s="40"/>
      <c r="C985" s="40"/>
      <c r="D985" s="40"/>
    </row>
    <row r="986">
      <c r="B986" s="40"/>
      <c r="C986" s="40"/>
      <c r="D986" s="40"/>
    </row>
    <row r="987">
      <c r="B987" s="40"/>
      <c r="C987" s="40"/>
      <c r="D987" s="40"/>
    </row>
    <row r="988">
      <c r="B988" s="40"/>
      <c r="C988" s="40"/>
      <c r="D988" s="40"/>
    </row>
    <row r="989">
      <c r="B989" s="40"/>
      <c r="C989" s="40"/>
      <c r="D989" s="40"/>
    </row>
    <row r="990">
      <c r="B990" s="40"/>
      <c r="C990" s="40"/>
      <c r="D990" s="40"/>
    </row>
    <row r="991">
      <c r="B991" s="40"/>
      <c r="C991" s="40"/>
      <c r="D991" s="40"/>
    </row>
    <row r="992">
      <c r="B992" s="40"/>
      <c r="C992" s="40"/>
      <c r="D992" s="40"/>
    </row>
    <row r="993">
      <c r="B993" s="40"/>
      <c r="C993" s="40"/>
      <c r="D993" s="40"/>
    </row>
    <row r="994">
      <c r="B994" s="40"/>
      <c r="C994" s="40"/>
      <c r="D994" s="40"/>
    </row>
    <row r="995">
      <c r="B995" s="40"/>
      <c r="C995" s="40"/>
      <c r="D995" s="40"/>
    </row>
    <row r="996">
      <c r="B996" s="40"/>
      <c r="C996" s="40"/>
      <c r="D996" s="40"/>
    </row>
    <row r="997">
      <c r="B997" s="40"/>
      <c r="C997" s="40"/>
      <c r="D997" s="40"/>
    </row>
    <row r="998">
      <c r="B998" s="40"/>
      <c r="C998" s="40"/>
      <c r="D998" s="40"/>
    </row>
    <row r="999">
      <c r="B999" s="40"/>
      <c r="C999" s="40"/>
      <c r="D999" s="40"/>
    </row>
    <row r="1000">
      <c r="B1000" s="40"/>
      <c r="C1000" s="40"/>
      <c r="D1000" s="40"/>
    </row>
  </sheetData>
  <conditionalFormatting sqref="E2:AA16">
    <cfRule type="cellIs" dxfId="0" priority="1" operator="equal">
      <formula>"TRUE"</formula>
    </cfRule>
  </conditionalFormatting>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4" width="7.0"/>
  </cols>
  <sheetData>
    <row r="1">
      <c r="B1" s="21" t="s">
        <v>29</v>
      </c>
      <c r="C1" s="21" t="s">
        <v>30</v>
      </c>
      <c r="D1" s="21" t="s">
        <v>31</v>
      </c>
      <c r="E1" s="21" t="s">
        <v>85</v>
      </c>
      <c r="F1" s="21" t="s">
        <v>86</v>
      </c>
      <c r="G1" s="21" t="s">
        <v>87</v>
      </c>
      <c r="H1" s="21" t="s">
        <v>88</v>
      </c>
      <c r="I1" s="21" t="s">
        <v>89</v>
      </c>
      <c r="J1" s="21" t="s">
        <v>90</v>
      </c>
      <c r="K1" s="21" t="s">
        <v>91</v>
      </c>
      <c r="L1" s="21" t="s">
        <v>92</v>
      </c>
      <c r="M1" s="21" t="s">
        <v>93</v>
      </c>
      <c r="N1" s="21" t="s">
        <v>94</v>
      </c>
      <c r="O1" s="21" t="s">
        <v>95</v>
      </c>
      <c r="P1" s="21" t="s">
        <v>96</v>
      </c>
      <c r="Q1" s="21" t="s">
        <v>97</v>
      </c>
      <c r="R1" s="21" t="s">
        <v>98</v>
      </c>
      <c r="S1" s="21" t="s">
        <v>99</v>
      </c>
      <c r="T1" s="21" t="s">
        <v>100</v>
      </c>
      <c r="U1" s="21" t="s">
        <v>101</v>
      </c>
      <c r="V1" s="21" t="s">
        <v>102</v>
      </c>
      <c r="W1" s="21" t="s">
        <v>102</v>
      </c>
      <c r="X1" s="21" t="s">
        <v>102</v>
      </c>
      <c r="Y1" s="21"/>
      <c r="Z1" s="21"/>
      <c r="AA1" s="21"/>
    </row>
    <row r="2">
      <c r="A2" s="26" t="s">
        <v>49</v>
      </c>
      <c r="B2" s="29">
        <f t="shared" ref="B2:B16" si="1">COUNTIF(E2:M2, TRUE) / COUNTA(E2:M2)</f>
        <v>0.2222222222</v>
      </c>
      <c r="C2" s="29">
        <f t="shared" ref="C2:C16" si="2">COUNTIF(E2:X2, TRUE) / COUNTA(E2:X2)</f>
        <v>0.1</v>
      </c>
      <c r="D2" s="21"/>
      <c r="E2" s="21" t="b">
        <v>1</v>
      </c>
      <c r="F2" s="21" t="b">
        <v>0</v>
      </c>
      <c r="G2" s="21" t="b">
        <v>0</v>
      </c>
      <c r="H2" s="21" t="b">
        <v>0</v>
      </c>
      <c r="I2" s="21" t="b">
        <v>0</v>
      </c>
      <c r="J2" s="21" t="b">
        <v>0</v>
      </c>
      <c r="K2" s="21" t="b">
        <v>0</v>
      </c>
      <c r="L2" s="21" t="b">
        <v>0</v>
      </c>
      <c r="M2" s="21" t="b">
        <v>1</v>
      </c>
      <c r="N2" s="21" t="b">
        <v>0</v>
      </c>
      <c r="O2" s="21" t="b">
        <v>0</v>
      </c>
      <c r="P2" s="21" t="b">
        <v>0</v>
      </c>
      <c r="Q2" s="21" t="b">
        <v>0</v>
      </c>
      <c r="R2" s="21" t="b">
        <v>0</v>
      </c>
      <c r="S2" s="21" t="b">
        <v>0</v>
      </c>
      <c r="T2" s="21" t="b">
        <v>0</v>
      </c>
      <c r="U2" s="21" t="b">
        <v>0</v>
      </c>
      <c r="V2" s="21" t="b">
        <v>0</v>
      </c>
      <c r="W2" s="21" t="b">
        <v>0</v>
      </c>
      <c r="X2" s="21" t="b">
        <v>0</v>
      </c>
      <c r="Y2" s="21"/>
      <c r="Z2" s="21"/>
      <c r="AA2" s="21"/>
    </row>
    <row r="3">
      <c r="A3" s="26" t="s">
        <v>50</v>
      </c>
      <c r="B3" s="29">
        <f t="shared" si="1"/>
        <v>0.1111111111</v>
      </c>
      <c r="C3" s="29">
        <f t="shared" si="2"/>
        <v>0.05</v>
      </c>
      <c r="D3" s="21"/>
      <c r="E3" s="21" t="b">
        <v>0</v>
      </c>
      <c r="F3" s="21" t="b">
        <v>0</v>
      </c>
      <c r="G3" s="21" t="b">
        <v>0</v>
      </c>
      <c r="H3" s="21" t="b">
        <v>0</v>
      </c>
      <c r="I3" s="21" t="b">
        <v>0</v>
      </c>
      <c r="J3" s="21" t="b">
        <v>0</v>
      </c>
      <c r="K3" s="21" t="b">
        <v>0</v>
      </c>
      <c r="L3" s="21" t="b">
        <v>0</v>
      </c>
      <c r="M3" s="21" t="b">
        <v>1</v>
      </c>
      <c r="N3" s="21" t="b">
        <v>0</v>
      </c>
      <c r="O3" s="21" t="b">
        <v>0</v>
      </c>
      <c r="P3" s="21" t="b">
        <v>0</v>
      </c>
      <c r="Q3" s="21" t="b">
        <v>0</v>
      </c>
      <c r="R3" s="21" t="b">
        <v>0</v>
      </c>
      <c r="S3" s="21" t="b">
        <v>0</v>
      </c>
      <c r="T3" s="21" t="b">
        <v>0</v>
      </c>
      <c r="U3" s="21" t="b">
        <v>0</v>
      </c>
      <c r="V3" s="21" t="b">
        <v>0</v>
      </c>
      <c r="W3" s="21" t="b">
        <v>0</v>
      </c>
      <c r="X3" s="21" t="b">
        <v>0</v>
      </c>
      <c r="Y3" s="21"/>
      <c r="Z3" s="21"/>
      <c r="AA3" s="21"/>
    </row>
    <row r="4">
      <c r="A4" s="26" t="s">
        <v>51</v>
      </c>
      <c r="B4" s="29">
        <f t="shared" si="1"/>
        <v>0.3333333333</v>
      </c>
      <c r="C4" s="29">
        <f t="shared" si="2"/>
        <v>0.2</v>
      </c>
      <c r="D4" s="29"/>
      <c r="E4" s="21" t="b">
        <v>1</v>
      </c>
      <c r="F4" s="21" t="b">
        <v>0</v>
      </c>
      <c r="G4" s="21" t="b">
        <v>0</v>
      </c>
      <c r="H4" s="21" t="b">
        <v>0</v>
      </c>
      <c r="I4" s="21" t="b">
        <v>0</v>
      </c>
      <c r="J4" s="21" t="b">
        <v>0</v>
      </c>
      <c r="K4" s="21" t="b">
        <v>0</v>
      </c>
      <c r="L4" s="21" t="b">
        <v>1</v>
      </c>
      <c r="M4" s="21" t="b">
        <v>1</v>
      </c>
      <c r="N4" s="21" t="b">
        <v>0</v>
      </c>
      <c r="O4" s="21" t="b">
        <v>0</v>
      </c>
      <c r="P4" s="21" t="b">
        <v>0</v>
      </c>
      <c r="Q4" s="21" t="b">
        <v>0</v>
      </c>
      <c r="R4" s="21" t="b">
        <v>0</v>
      </c>
      <c r="S4" s="21" t="b">
        <v>0</v>
      </c>
      <c r="T4" s="21" t="b">
        <v>0</v>
      </c>
      <c r="U4" s="21" t="b">
        <v>0</v>
      </c>
      <c r="V4" s="21" t="b">
        <v>1</v>
      </c>
      <c r="W4" s="21" t="b">
        <v>0</v>
      </c>
      <c r="X4" s="21" t="b">
        <v>0</v>
      </c>
      <c r="Y4" s="21"/>
      <c r="Z4" s="21"/>
      <c r="AA4" s="21"/>
    </row>
    <row r="5">
      <c r="A5" s="26" t="s">
        <v>52</v>
      </c>
      <c r="B5" s="29">
        <f t="shared" si="1"/>
        <v>0.2222222222</v>
      </c>
      <c r="C5" s="29">
        <f t="shared" si="2"/>
        <v>0.1</v>
      </c>
      <c r="D5" s="21"/>
      <c r="E5" s="21" t="b">
        <v>0</v>
      </c>
      <c r="F5" s="21" t="b">
        <v>1</v>
      </c>
      <c r="G5" s="21" t="b">
        <v>0</v>
      </c>
      <c r="H5" s="21" t="b">
        <v>0</v>
      </c>
      <c r="I5" s="21" t="b">
        <v>0</v>
      </c>
      <c r="J5" s="21" t="b">
        <v>0</v>
      </c>
      <c r="K5" s="21" t="b">
        <v>0</v>
      </c>
      <c r="L5" s="21" t="b">
        <v>0</v>
      </c>
      <c r="M5" s="21" t="b">
        <v>1</v>
      </c>
      <c r="N5" s="21" t="b">
        <v>0</v>
      </c>
      <c r="O5" s="21" t="b">
        <v>0</v>
      </c>
      <c r="P5" s="21" t="b">
        <v>0</v>
      </c>
      <c r="Q5" s="21" t="b">
        <v>0</v>
      </c>
      <c r="R5" s="21" t="b">
        <v>0</v>
      </c>
      <c r="S5" s="21" t="b">
        <v>0</v>
      </c>
      <c r="T5" s="21" t="b">
        <v>0</v>
      </c>
      <c r="U5" s="21" t="b">
        <v>0</v>
      </c>
      <c r="V5" s="21" t="b">
        <v>0</v>
      </c>
      <c r="W5" s="21" t="b">
        <v>0</v>
      </c>
      <c r="X5" s="21" t="b">
        <v>0</v>
      </c>
      <c r="Y5" s="21"/>
      <c r="Z5" s="21"/>
      <c r="AA5" s="21"/>
    </row>
    <row r="6">
      <c r="A6" s="26" t="s">
        <v>53</v>
      </c>
      <c r="B6" s="29">
        <f t="shared" si="1"/>
        <v>0.1111111111</v>
      </c>
      <c r="C6" s="29">
        <f t="shared" si="2"/>
        <v>0.1</v>
      </c>
      <c r="D6" s="21"/>
      <c r="E6" s="21" t="b">
        <v>0</v>
      </c>
      <c r="F6" s="21" t="b">
        <v>0</v>
      </c>
      <c r="G6" s="21" t="b">
        <v>0</v>
      </c>
      <c r="H6" s="21" t="b">
        <v>0</v>
      </c>
      <c r="I6" s="21" t="b">
        <v>0</v>
      </c>
      <c r="J6" s="21" t="b">
        <v>0</v>
      </c>
      <c r="K6" s="21" t="b">
        <v>0</v>
      </c>
      <c r="L6" s="21" t="b">
        <v>0</v>
      </c>
      <c r="M6" s="21" t="b">
        <v>1</v>
      </c>
      <c r="N6" s="21" t="b">
        <v>0</v>
      </c>
      <c r="O6" s="21" t="b">
        <v>1</v>
      </c>
      <c r="P6" s="21" t="b">
        <v>0</v>
      </c>
      <c r="Q6" s="21" t="b">
        <v>0</v>
      </c>
      <c r="R6" s="21" t="b">
        <v>0</v>
      </c>
      <c r="S6" s="21" t="b">
        <v>0</v>
      </c>
      <c r="T6" s="21" t="b">
        <v>0</v>
      </c>
      <c r="U6" s="21" t="b">
        <v>0</v>
      </c>
      <c r="V6" s="21" t="b">
        <v>0</v>
      </c>
      <c r="W6" s="21" t="b">
        <v>0</v>
      </c>
      <c r="X6" s="21" t="b">
        <v>0</v>
      </c>
      <c r="Y6" s="21"/>
      <c r="Z6" s="21"/>
      <c r="AA6" s="21"/>
    </row>
    <row r="7">
      <c r="A7" s="26" t="s">
        <v>54</v>
      </c>
      <c r="B7" s="29">
        <f t="shared" si="1"/>
        <v>0.4444444444</v>
      </c>
      <c r="C7" s="29">
        <f t="shared" si="2"/>
        <v>0.2</v>
      </c>
      <c r="D7" s="29"/>
      <c r="E7" s="21" t="b">
        <v>1</v>
      </c>
      <c r="F7" s="21" t="b">
        <v>1</v>
      </c>
      <c r="G7" s="21" t="b">
        <v>0</v>
      </c>
      <c r="H7" s="21" t="b">
        <v>0</v>
      </c>
      <c r="I7" s="21" t="b">
        <v>0</v>
      </c>
      <c r="J7" s="21" t="b">
        <v>1</v>
      </c>
      <c r="K7" s="21" t="b">
        <v>0</v>
      </c>
      <c r="L7" s="21" t="b">
        <v>0</v>
      </c>
      <c r="M7" s="21" t="b">
        <v>1</v>
      </c>
      <c r="N7" s="21" t="b">
        <v>0</v>
      </c>
      <c r="O7" s="21" t="b">
        <v>0</v>
      </c>
      <c r="P7" s="21" t="b">
        <v>0</v>
      </c>
      <c r="Q7" s="21" t="b">
        <v>0</v>
      </c>
      <c r="R7" s="21" t="b">
        <v>0</v>
      </c>
      <c r="S7" s="21" t="b">
        <v>0</v>
      </c>
      <c r="T7" s="21" t="b">
        <v>0</v>
      </c>
      <c r="U7" s="21" t="b">
        <v>0</v>
      </c>
      <c r="V7" s="21" t="b">
        <v>0</v>
      </c>
      <c r="W7" s="21" t="b">
        <v>0</v>
      </c>
      <c r="X7" s="21" t="b">
        <v>0</v>
      </c>
      <c r="Y7" s="21"/>
      <c r="Z7" s="21"/>
      <c r="AA7" s="21"/>
    </row>
    <row r="8">
      <c r="A8" s="44" t="s">
        <v>55</v>
      </c>
      <c r="B8" s="29">
        <f t="shared" si="1"/>
        <v>0.2222222222</v>
      </c>
      <c r="C8" s="29">
        <f t="shared" si="2"/>
        <v>0.1</v>
      </c>
      <c r="D8" s="21"/>
      <c r="E8" s="21" t="b">
        <v>0</v>
      </c>
      <c r="F8" s="21" t="b">
        <v>0</v>
      </c>
      <c r="G8" s="21" t="b">
        <v>0</v>
      </c>
      <c r="H8" s="21" t="b">
        <v>0</v>
      </c>
      <c r="I8" s="21" t="b">
        <v>0</v>
      </c>
      <c r="J8" s="21" t="b">
        <v>1</v>
      </c>
      <c r="K8" s="21" t="b">
        <v>0</v>
      </c>
      <c r="L8" s="21" t="b">
        <v>0</v>
      </c>
      <c r="M8" s="21" t="b">
        <v>1</v>
      </c>
      <c r="N8" s="21" t="b">
        <v>0</v>
      </c>
      <c r="O8" s="21" t="b">
        <v>0</v>
      </c>
      <c r="P8" s="21" t="b">
        <v>0</v>
      </c>
      <c r="Q8" s="21" t="b">
        <v>0</v>
      </c>
      <c r="R8" s="21" t="b">
        <v>0</v>
      </c>
      <c r="S8" s="21" t="b">
        <v>0</v>
      </c>
      <c r="T8" s="21" t="b">
        <v>0</v>
      </c>
      <c r="U8" s="21" t="b">
        <v>0</v>
      </c>
      <c r="V8" s="21" t="b">
        <v>0</v>
      </c>
      <c r="W8" s="21" t="b">
        <v>0</v>
      </c>
      <c r="X8" s="21" t="b">
        <v>0</v>
      </c>
      <c r="Y8" s="21"/>
      <c r="Z8" s="21"/>
      <c r="AA8" s="21"/>
    </row>
    <row r="9">
      <c r="A9" s="45" t="s">
        <v>56</v>
      </c>
      <c r="B9" s="29">
        <f t="shared" si="1"/>
        <v>0.2222222222</v>
      </c>
      <c r="C9" s="29">
        <f t="shared" si="2"/>
        <v>0.15</v>
      </c>
      <c r="D9" s="21"/>
      <c r="E9" s="21" t="b">
        <v>1</v>
      </c>
      <c r="F9" s="21" t="b">
        <v>0</v>
      </c>
      <c r="G9" s="21" t="b">
        <v>0</v>
      </c>
      <c r="H9" s="21" t="b">
        <v>0</v>
      </c>
      <c r="I9" s="21" t="b">
        <v>0</v>
      </c>
      <c r="J9" s="21" t="b">
        <v>0</v>
      </c>
      <c r="K9" s="21" t="b">
        <v>0</v>
      </c>
      <c r="L9" s="21" t="b">
        <v>0</v>
      </c>
      <c r="M9" s="21" t="b">
        <v>1</v>
      </c>
      <c r="N9" s="21" t="b">
        <v>1</v>
      </c>
      <c r="O9" s="21" t="b">
        <v>0</v>
      </c>
      <c r="P9" s="21" t="b">
        <v>0</v>
      </c>
      <c r="Q9" s="21" t="b">
        <v>0</v>
      </c>
      <c r="R9" s="21" t="b">
        <v>0</v>
      </c>
      <c r="S9" s="21" t="b">
        <v>0</v>
      </c>
      <c r="T9" s="21" t="b">
        <v>0</v>
      </c>
      <c r="U9" s="21" t="b">
        <v>0</v>
      </c>
      <c r="V9" s="21" t="b">
        <v>0</v>
      </c>
      <c r="W9" s="21" t="b">
        <v>0</v>
      </c>
      <c r="X9" s="21" t="b">
        <v>0</v>
      </c>
      <c r="Y9" s="21"/>
      <c r="Z9" s="21"/>
      <c r="AA9" s="21"/>
    </row>
    <row r="10">
      <c r="A10" s="45" t="s">
        <v>57</v>
      </c>
      <c r="B10" s="29">
        <f t="shared" si="1"/>
        <v>0.1111111111</v>
      </c>
      <c r="C10" s="29">
        <f t="shared" si="2"/>
        <v>0.05</v>
      </c>
      <c r="D10" s="21"/>
      <c r="E10" s="21" t="b">
        <v>0</v>
      </c>
      <c r="F10" s="21" t="b">
        <v>0</v>
      </c>
      <c r="G10" s="21" t="b">
        <v>0</v>
      </c>
      <c r="H10" s="21" t="b">
        <v>0</v>
      </c>
      <c r="I10" s="21" t="b">
        <v>0</v>
      </c>
      <c r="J10" s="21" t="b">
        <v>0</v>
      </c>
      <c r="K10" s="21" t="b">
        <v>0</v>
      </c>
      <c r="L10" s="21" t="b">
        <v>0</v>
      </c>
      <c r="M10" s="21" t="b">
        <v>1</v>
      </c>
      <c r="N10" s="21" t="b">
        <v>0</v>
      </c>
      <c r="O10" s="21" t="b">
        <v>0</v>
      </c>
      <c r="P10" s="21" t="b">
        <v>0</v>
      </c>
      <c r="Q10" s="21" t="b">
        <v>0</v>
      </c>
      <c r="R10" s="21" t="b">
        <v>0</v>
      </c>
      <c r="S10" s="21" t="b">
        <v>0</v>
      </c>
      <c r="T10" s="21" t="b">
        <v>0</v>
      </c>
      <c r="U10" s="21" t="b">
        <v>0</v>
      </c>
      <c r="V10" s="21" t="b">
        <v>0</v>
      </c>
      <c r="W10" s="21" t="b">
        <v>0</v>
      </c>
      <c r="X10" s="21" t="b">
        <v>0</v>
      </c>
      <c r="Y10" s="21"/>
      <c r="Z10" s="21"/>
      <c r="AA10" s="21"/>
    </row>
    <row r="11">
      <c r="A11" s="46" t="s">
        <v>58</v>
      </c>
      <c r="B11" s="29">
        <f t="shared" si="1"/>
        <v>0.1111111111</v>
      </c>
      <c r="C11" s="29">
        <f t="shared" si="2"/>
        <v>0.05</v>
      </c>
      <c r="D11" s="29"/>
      <c r="E11" s="21" t="b">
        <v>0</v>
      </c>
      <c r="F11" s="21" t="b">
        <v>0</v>
      </c>
      <c r="G11" s="21" t="b">
        <v>0</v>
      </c>
      <c r="H11" s="21" t="b">
        <v>0</v>
      </c>
      <c r="I11" s="21" t="b">
        <v>0</v>
      </c>
      <c r="J11" s="21" t="b">
        <v>0</v>
      </c>
      <c r="K11" s="21" t="b">
        <v>0</v>
      </c>
      <c r="L11" s="21" t="b">
        <v>0</v>
      </c>
      <c r="M11" s="21" t="b">
        <v>1</v>
      </c>
      <c r="N11" s="21" t="b">
        <v>0</v>
      </c>
      <c r="O11" s="21" t="b">
        <v>0</v>
      </c>
      <c r="P11" s="21" t="b">
        <v>0</v>
      </c>
      <c r="Q11" s="21" t="b">
        <v>0</v>
      </c>
      <c r="R11" s="21" t="b">
        <v>0</v>
      </c>
      <c r="S11" s="21" t="b">
        <v>0</v>
      </c>
      <c r="T11" s="21" t="b">
        <v>0</v>
      </c>
      <c r="U11" s="21" t="b">
        <v>0</v>
      </c>
      <c r="V11" s="21" t="b">
        <v>0</v>
      </c>
      <c r="W11" s="21" t="b">
        <v>0</v>
      </c>
      <c r="X11" s="21" t="b">
        <v>0</v>
      </c>
      <c r="Y11" s="21"/>
      <c r="Z11" s="21"/>
      <c r="AA11" s="21"/>
    </row>
    <row r="12">
      <c r="A12" s="45" t="s">
        <v>59</v>
      </c>
      <c r="B12" s="29">
        <f t="shared" si="1"/>
        <v>0.3333333333</v>
      </c>
      <c r="C12" s="29">
        <f t="shared" si="2"/>
        <v>0.2</v>
      </c>
      <c r="D12" s="21"/>
      <c r="E12" s="21" t="b">
        <v>1</v>
      </c>
      <c r="F12" s="21" t="b">
        <v>0</v>
      </c>
      <c r="G12" s="21" t="b">
        <v>0</v>
      </c>
      <c r="H12" s="21" t="b">
        <v>0</v>
      </c>
      <c r="I12" s="21" t="b">
        <v>0</v>
      </c>
      <c r="J12" s="21" t="b">
        <v>1</v>
      </c>
      <c r="K12" s="21" t="b">
        <v>0</v>
      </c>
      <c r="L12" s="21" t="b">
        <v>0</v>
      </c>
      <c r="M12" s="21" t="b">
        <v>1</v>
      </c>
      <c r="N12" s="21" t="b">
        <v>1</v>
      </c>
      <c r="O12" s="21" t="b">
        <v>0</v>
      </c>
      <c r="P12" s="21" t="b">
        <v>0</v>
      </c>
      <c r="Q12" s="21" t="b">
        <v>0</v>
      </c>
      <c r="R12" s="21" t="b">
        <v>0</v>
      </c>
      <c r="S12" s="21" t="b">
        <v>0</v>
      </c>
      <c r="T12" s="21" t="b">
        <v>0</v>
      </c>
      <c r="U12" s="21" t="b">
        <v>0</v>
      </c>
      <c r="V12" s="21" t="b">
        <v>0</v>
      </c>
      <c r="W12" s="21" t="b">
        <v>0</v>
      </c>
      <c r="X12" s="21" t="b">
        <v>0</v>
      </c>
      <c r="Y12" s="21"/>
      <c r="Z12" s="21"/>
      <c r="AA12" s="21"/>
    </row>
    <row r="13">
      <c r="A13" s="26" t="s">
        <v>60</v>
      </c>
      <c r="B13" s="29">
        <f t="shared" si="1"/>
        <v>0.2222222222</v>
      </c>
      <c r="C13" s="29">
        <f t="shared" si="2"/>
        <v>0.1</v>
      </c>
      <c r="D13" s="21"/>
      <c r="E13" s="21" t="b">
        <v>1</v>
      </c>
      <c r="F13" s="21" t="b">
        <v>0</v>
      </c>
      <c r="G13" s="21" t="b">
        <v>0</v>
      </c>
      <c r="H13" s="21" t="b">
        <v>0</v>
      </c>
      <c r="I13" s="21" t="b">
        <v>0</v>
      </c>
      <c r="J13" s="21" t="b">
        <v>0</v>
      </c>
      <c r="K13" s="21" t="b">
        <v>0</v>
      </c>
      <c r="L13" s="21" t="b">
        <v>0</v>
      </c>
      <c r="M13" s="21" t="b">
        <v>1</v>
      </c>
      <c r="N13" s="21" t="b">
        <v>0</v>
      </c>
      <c r="O13" s="21" t="b">
        <v>0</v>
      </c>
      <c r="P13" s="21" t="b">
        <v>0</v>
      </c>
      <c r="Q13" s="21" t="b">
        <v>0</v>
      </c>
      <c r="R13" s="21" t="b">
        <v>0</v>
      </c>
      <c r="S13" s="21" t="b">
        <v>0</v>
      </c>
      <c r="T13" s="21" t="b">
        <v>0</v>
      </c>
      <c r="U13" s="21" t="b">
        <v>0</v>
      </c>
      <c r="V13" s="21" t="b">
        <v>0</v>
      </c>
      <c r="W13" s="21" t="b">
        <v>0</v>
      </c>
      <c r="X13" s="21" t="b">
        <v>0</v>
      </c>
      <c r="Y13" s="21"/>
      <c r="Z13" s="21"/>
      <c r="AA13" s="21"/>
    </row>
    <row r="14">
      <c r="A14" s="45" t="s">
        <v>61</v>
      </c>
      <c r="B14" s="29">
        <f t="shared" si="1"/>
        <v>0.3333333333</v>
      </c>
      <c r="C14" s="29">
        <f t="shared" si="2"/>
        <v>0.15</v>
      </c>
      <c r="D14" s="21"/>
      <c r="E14" s="21" t="b">
        <v>1</v>
      </c>
      <c r="F14" s="21" t="b">
        <v>0</v>
      </c>
      <c r="G14" s="21" t="b">
        <v>0</v>
      </c>
      <c r="H14" s="21" t="b">
        <v>0</v>
      </c>
      <c r="I14" s="21" t="b">
        <v>0</v>
      </c>
      <c r="J14" s="21" t="b">
        <v>1</v>
      </c>
      <c r="K14" s="21" t="b">
        <v>0</v>
      </c>
      <c r="L14" s="21" t="b">
        <v>0</v>
      </c>
      <c r="M14" s="21" t="b">
        <v>1</v>
      </c>
      <c r="N14" s="21" t="b">
        <v>0</v>
      </c>
      <c r="O14" s="21" t="b">
        <v>0</v>
      </c>
      <c r="P14" s="21" t="b">
        <v>0</v>
      </c>
      <c r="Q14" s="21" t="b">
        <v>0</v>
      </c>
      <c r="R14" s="21" t="b">
        <v>0</v>
      </c>
      <c r="S14" s="21" t="b">
        <v>0</v>
      </c>
      <c r="T14" s="21" t="b">
        <v>0</v>
      </c>
      <c r="U14" s="21" t="b">
        <v>0</v>
      </c>
      <c r="V14" s="21" t="b">
        <v>0</v>
      </c>
      <c r="W14" s="21" t="b">
        <v>0</v>
      </c>
      <c r="X14" s="21" t="b">
        <v>0</v>
      </c>
      <c r="Y14" s="21"/>
      <c r="Z14" s="21"/>
      <c r="AA14" s="21"/>
    </row>
    <row r="15">
      <c r="A15" s="45" t="s">
        <v>62</v>
      </c>
      <c r="B15" s="29">
        <f t="shared" si="1"/>
        <v>0.2222222222</v>
      </c>
      <c r="C15" s="29">
        <f t="shared" si="2"/>
        <v>0.1</v>
      </c>
      <c r="D15" s="29"/>
      <c r="E15" s="21" t="b">
        <v>1</v>
      </c>
      <c r="F15" s="21" t="b">
        <v>0</v>
      </c>
      <c r="G15" s="21" t="b">
        <v>0</v>
      </c>
      <c r="H15" s="21" t="b">
        <v>0</v>
      </c>
      <c r="I15" s="21" t="b">
        <v>0</v>
      </c>
      <c r="J15" s="21" t="b">
        <v>0</v>
      </c>
      <c r="K15" s="21" t="b">
        <v>0</v>
      </c>
      <c r="L15" s="21" t="b">
        <v>0</v>
      </c>
      <c r="M15" s="21" t="b">
        <v>1</v>
      </c>
      <c r="N15" s="21" t="b">
        <v>0</v>
      </c>
      <c r="O15" s="21" t="b">
        <v>0</v>
      </c>
      <c r="P15" s="21" t="b">
        <v>0</v>
      </c>
      <c r="Q15" s="21" t="b">
        <v>0</v>
      </c>
      <c r="R15" s="21" t="b">
        <v>0</v>
      </c>
      <c r="S15" s="21" t="b">
        <v>0</v>
      </c>
      <c r="T15" s="21" t="b">
        <v>0</v>
      </c>
      <c r="U15" s="21" t="b">
        <v>0</v>
      </c>
      <c r="V15" s="21" t="b">
        <v>0</v>
      </c>
      <c r="W15" s="21" t="b">
        <v>0</v>
      </c>
      <c r="X15" s="21" t="b">
        <v>0</v>
      </c>
      <c r="Y15" s="21"/>
      <c r="Z15" s="21"/>
      <c r="AA15" s="21"/>
    </row>
    <row r="16">
      <c r="A16" s="26" t="s">
        <v>63</v>
      </c>
      <c r="B16" s="29">
        <f t="shared" si="1"/>
        <v>0.2222222222</v>
      </c>
      <c r="C16" s="29">
        <f t="shared" si="2"/>
        <v>0.1</v>
      </c>
      <c r="D16" s="21"/>
      <c r="E16" s="21" t="b">
        <v>0</v>
      </c>
      <c r="F16" s="21" t="b">
        <v>0</v>
      </c>
      <c r="G16" s="21" t="b">
        <v>0</v>
      </c>
      <c r="H16" s="21" t="b">
        <v>0</v>
      </c>
      <c r="I16" s="21" t="b">
        <v>0</v>
      </c>
      <c r="J16" s="21" t="b">
        <v>1</v>
      </c>
      <c r="K16" s="21" t="b">
        <v>0</v>
      </c>
      <c r="L16" s="21" t="b">
        <v>0</v>
      </c>
      <c r="M16" s="21" t="b">
        <v>1</v>
      </c>
      <c r="N16" s="21" t="b">
        <v>0</v>
      </c>
      <c r="O16" s="21" t="b">
        <v>0</v>
      </c>
      <c r="P16" s="21" t="b">
        <v>0</v>
      </c>
      <c r="Q16" s="21" t="b">
        <v>0</v>
      </c>
      <c r="R16" s="21" t="b">
        <v>0</v>
      </c>
      <c r="S16" s="21" t="b">
        <v>0</v>
      </c>
      <c r="T16" s="21" t="b">
        <v>0</v>
      </c>
      <c r="U16" s="21" t="b">
        <v>0</v>
      </c>
      <c r="V16" s="21" t="b">
        <v>0</v>
      </c>
      <c r="W16" s="21" t="b">
        <v>0</v>
      </c>
      <c r="X16" s="21" t="b">
        <v>0</v>
      </c>
      <c r="Y16" s="21"/>
      <c r="Z16" s="21"/>
      <c r="AA16" s="21"/>
    </row>
    <row r="17">
      <c r="A17" s="10" t="s">
        <v>64</v>
      </c>
      <c r="B17" s="40"/>
      <c r="C17" s="41"/>
      <c r="D17" s="41"/>
      <c r="E17" s="42">
        <f t="shared" ref="E17:X17" si="3">COUNTIF(E2:E16, TRUE)</f>
        <v>8</v>
      </c>
      <c r="F17" s="42">
        <f t="shared" si="3"/>
        <v>2</v>
      </c>
      <c r="G17" s="42">
        <f t="shared" si="3"/>
        <v>0</v>
      </c>
      <c r="H17" s="42">
        <f t="shared" si="3"/>
        <v>0</v>
      </c>
      <c r="I17" s="42">
        <f t="shared" si="3"/>
        <v>0</v>
      </c>
      <c r="J17" s="42">
        <f t="shared" si="3"/>
        <v>5</v>
      </c>
      <c r="K17" s="42">
        <f t="shared" si="3"/>
        <v>0</v>
      </c>
      <c r="L17" s="42">
        <f t="shared" si="3"/>
        <v>1</v>
      </c>
      <c r="M17" s="42">
        <f t="shared" si="3"/>
        <v>15</v>
      </c>
      <c r="N17" s="42">
        <f t="shared" si="3"/>
        <v>2</v>
      </c>
      <c r="O17" s="42">
        <f t="shared" si="3"/>
        <v>1</v>
      </c>
      <c r="P17" s="42">
        <f t="shared" si="3"/>
        <v>0</v>
      </c>
      <c r="Q17" s="42">
        <f t="shared" si="3"/>
        <v>0</v>
      </c>
      <c r="R17" s="42">
        <f t="shared" si="3"/>
        <v>0</v>
      </c>
      <c r="S17" s="42">
        <f t="shared" si="3"/>
        <v>0</v>
      </c>
      <c r="T17" s="42">
        <f t="shared" si="3"/>
        <v>0</v>
      </c>
      <c r="U17" s="42">
        <f t="shared" si="3"/>
        <v>0</v>
      </c>
      <c r="V17" s="42">
        <f t="shared" si="3"/>
        <v>1</v>
      </c>
      <c r="W17" s="42">
        <f t="shared" si="3"/>
        <v>0</v>
      </c>
      <c r="X17" s="42">
        <f t="shared" si="3"/>
        <v>0</v>
      </c>
    </row>
    <row r="18">
      <c r="B18" s="40"/>
      <c r="C18" s="40"/>
      <c r="D18" s="40"/>
    </row>
    <row r="19">
      <c r="B19" s="40"/>
      <c r="C19" s="40"/>
      <c r="D19" s="21"/>
      <c r="I19" s="47"/>
    </row>
    <row r="20">
      <c r="B20" s="40"/>
      <c r="C20" s="40"/>
      <c r="D20" s="40"/>
    </row>
    <row r="21">
      <c r="B21" s="40"/>
      <c r="C21" s="40"/>
      <c r="D21" s="40"/>
      <c r="E21" s="32" t="s">
        <v>65</v>
      </c>
    </row>
    <row r="22">
      <c r="B22" s="40"/>
      <c r="C22" s="40"/>
      <c r="D22" s="40"/>
      <c r="E22" s="34" t="s">
        <v>66</v>
      </c>
    </row>
    <row r="23">
      <c r="B23" s="40"/>
      <c r="C23" s="40"/>
      <c r="D23" s="40"/>
      <c r="E23" s="36" t="s">
        <v>28</v>
      </c>
    </row>
    <row r="24">
      <c r="B24" s="40"/>
      <c r="C24" s="40"/>
      <c r="D24" s="40"/>
      <c r="E24" s="37" t="s">
        <v>68</v>
      </c>
    </row>
    <row r="25">
      <c r="B25" s="40"/>
      <c r="C25" s="40"/>
      <c r="D25" s="40"/>
      <c r="E25" s="33"/>
    </row>
    <row r="26">
      <c r="B26" s="40"/>
      <c r="C26" s="40"/>
      <c r="D26" s="40"/>
      <c r="E26" s="31"/>
    </row>
    <row r="27">
      <c r="B27" s="40"/>
      <c r="C27" s="40"/>
      <c r="D27" s="40"/>
      <c r="E27" s="33"/>
    </row>
    <row r="28">
      <c r="B28" s="40"/>
      <c r="C28" s="40"/>
      <c r="D28" s="40"/>
      <c r="E28" s="31"/>
    </row>
    <row r="29">
      <c r="B29" s="40"/>
      <c r="C29" s="40"/>
      <c r="D29" s="40"/>
      <c r="E29" s="31"/>
    </row>
    <row r="30">
      <c r="B30" s="40"/>
      <c r="C30" s="40"/>
      <c r="D30" s="40"/>
      <c r="E30" s="33"/>
    </row>
    <row r="31">
      <c r="B31" s="40"/>
      <c r="C31" s="40"/>
      <c r="D31" s="40"/>
      <c r="E31" s="33"/>
    </row>
    <row r="32">
      <c r="B32" s="40"/>
      <c r="C32" s="40"/>
      <c r="D32" s="40"/>
      <c r="E32" s="31"/>
    </row>
    <row r="33">
      <c r="B33" s="40"/>
      <c r="C33" s="40"/>
      <c r="D33" s="40"/>
      <c r="E33" s="31"/>
    </row>
    <row r="34">
      <c r="B34" s="40"/>
      <c r="C34" s="40"/>
      <c r="D34" s="40"/>
      <c r="E34" s="31"/>
    </row>
    <row r="35">
      <c r="B35" s="40"/>
      <c r="C35" s="40"/>
      <c r="D35" s="40"/>
      <c r="E35" s="33"/>
    </row>
    <row r="36">
      <c r="B36" s="40"/>
      <c r="C36" s="40"/>
      <c r="D36" s="40"/>
      <c r="E36" s="31"/>
    </row>
    <row r="37">
      <c r="B37" s="40"/>
      <c r="C37" s="40"/>
      <c r="D37" s="40"/>
    </row>
    <row r="38">
      <c r="B38" s="40"/>
      <c r="C38" s="40"/>
      <c r="D38" s="40"/>
    </row>
    <row r="39">
      <c r="B39" s="40"/>
      <c r="C39" s="40"/>
      <c r="D39" s="40"/>
    </row>
    <row r="40">
      <c r="B40" s="40"/>
      <c r="C40" s="40"/>
      <c r="D40" s="40"/>
    </row>
    <row r="41">
      <c r="B41" s="40"/>
      <c r="C41" s="40"/>
      <c r="D41" s="40"/>
    </row>
    <row r="42">
      <c r="B42" s="40"/>
      <c r="C42" s="40"/>
      <c r="D42" s="40"/>
    </row>
    <row r="43">
      <c r="B43" s="40"/>
      <c r="C43" s="40"/>
      <c r="D43" s="40"/>
    </row>
    <row r="44">
      <c r="B44" s="40"/>
      <c r="C44" s="40"/>
      <c r="D44" s="40"/>
    </row>
    <row r="45">
      <c r="B45" s="40"/>
      <c r="C45" s="40"/>
      <c r="D45" s="40"/>
    </row>
    <row r="46">
      <c r="B46" s="40"/>
      <c r="C46" s="40"/>
      <c r="D46" s="40"/>
    </row>
    <row r="47">
      <c r="B47" s="40"/>
      <c r="C47" s="40"/>
      <c r="D47" s="40"/>
    </row>
    <row r="48">
      <c r="B48" s="40"/>
      <c r="C48" s="40"/>
      <c r="D48" s="40"/>
    </row>
    <row r="49">
      <c r="B49" s="40"/>
      <c r="C49" s="40"/>
      <c r="D49" s="40"/>
    </row>
    <row r="50">
      <c r="B50" s="40"/>
      <c r="C50" s="40"/>
      <c r="D50" s="40"/>
    </row>
    <row r="51">
      <c r="B51" s="40"/>
      <c r="C51" s="40"/>
      <c r="D51" s="40"/>
    </row>
    <row r="52">
      <c r="B52" s="40"/>
      <c r="C52" s="40"/>
      <c r="D52" s="40"/>
    </row>
    <row r="53">
      <c r="B53" s="40"/>
      <c r="C53" s="40"/>
      <c r="D53" s="40"/>
    </row>
    <row r="54">
      <c r="B54" s="40"/>
      <c r="C54" s="40"/>
      <c r="D54" s="40"/>
    </row>
    <row r="55">
      <c r="B55" s="40"/>
      <c r="C55" s="40"/>
      <c r="D55" s="40"/>
    </row>
    <row r="56">
      <c r="B56" s="40"/>
      <c r="C56" s="40"/>
      <c r="D56" s="40"/>
    </row>
    <row r="57">
      <c r="B57" s="40"/>
      <c r="C57" s="40"/>
      <c r="D57" s="40"/>
    </row>
    <row r="58">
      <c r="B58" s="40"/>
      <c r="C58" s="40"/>
      <c r="D58" s="40"/>
    </row>
    <row r="59">
      <c r="B59" s="40"/>
      <c r="C59" s="40"/>
      <c r="D59" s="40"/>
    </row>
    <row r="60">
      <c r="B60" s="40"/>
      <c r="C60" s="40"/>
      <c r="D60" s="40"/>
    </row>
    <row r="61">
      <c r="B61" s="40"/>
      <c r="C61" s="40"/>
      <c r="D61" s="40"/>
    </row>
    <row r="62">
      <c r="B62" s="40"/>
      <c r="C62" s="40"/>
      <c r="D62" s="40"/>
    </row>
    <row r="63">
      <c r="B63" s="40"/>
      <c r="C63" s="40"/>
      <c r="D63" s="40"/>
    </row>
    <row r="64">
      <c r="B64" s="40"/>
      <c r="C64" s="40"/>
      <c r="D64" s="40"/>
    </row>
    <row r="65">
      <c r="B65" s="40"/>
      <c r="C65" s="40"/>
      <c r="D65" s="40"/>
    </row>
    <row r="66">
      <c r="B66" s="40"/>
      <c r="C66" s="40"/>
      <c r="D66" s="40"/>
    </row>
    <row r="67">
      <c r="B67" s="40"/>
      <c r="C67" s="40"/>
      <c r="D67" s="40"/>
    </row>
    <row r="68">
      <c r="B68" s="40"/>
      <c r="C68" s="40"/>
      <c r="D68" s="40"/>
    </row>
    <row r="69">
      <c r="B69" s="40"/>
      <c r="C69" s="40"/>
      <c r="D69" s="40"/>
    </row>
    <row r="70">
      <c r="B70" s="40"/>
      <c r="C70" s="40"/>
      <c r="D70" s="40"/>
    </row>
    <row r="71">
      <c r="B71" s="40"/>
      <c r="C71" s="40"/>
      <c r="D71" s="40"/>
    </row>
    <row r="72">
      <c r="B72" s="40"/>
      <c r="C72" s="40"/>
      <c r="D72" s="40"/>
    </row>
    <row r="73">
      <c r="B73" s="40"/>
      <c r="C73" s="40"/>
      <c r="D73" s="40"/>
    </row>
    <row r="74">
      <c r="B74" s="40"/>
      <c r="C74" s="40"/>
      <c r="D74" s="40"/>
    </row>
    <row r="75">
      <c r="B75" s="40"/>
      <c r="C75" s="40"/>
      <c r="D75" s="40"/>
    </row>
    <row r="76">
      <c r="B76" s="40"/>
      <c r="C76" s="40"/>
      <c r="D76" s="40"/>
    </row>
    <row r="77">
      <c r="B77" s="40"/>
      <c r="C77" s="40"/>
      <c r="D77" s="40"/>
    </row>
    <row r="78">
      <c r="B78" s="40"/>
      <c r="C78" s="40"/>
      <c r="D78" s="40"/>
    </row>
    <row r="79">
      <c r="B79" s="40"/>
      <c r="C79" s="40"/>
      <c r="D79" s="40"/>
    </row>
    <row r="80">
      <c r="B80" s="40"/>
      <c r="C80" s="40"/>
      <c r="D80" s="40"/>
    </row>
    <row r="81">
      <c r="B81" s="40"/>
      <c r="C81" s="40"/>
      <c r="D81" s="40"/>
    </row>
    <row r="82">
      <c r="B82" s="40"/>
      <c r="C82" s="40"/>
      <c r="D82" s="40"/>
    </row>
    <row r="83">
      <c r="B83" s="40"/>
      <c r="C83" s="40"/>
      <c r="D83" s="40"/>
    </row>
    <row r="84">
      <c r="B84" s="40"/>
      <c r="C84" s="40"/>
      <c r="D84" s="40"/>
    </row>
    <row r="85">
      <c r="B85" s="40"/>
      <c r="C85" s="40"/>
      <c r="D85" s="40"/>
    </row>
    <row r="86">
      <c r="B86" s="40"/>
      <c r="C86" s="40"/>
      <c r="D86" s="40"/>
    </row>
    <row r="87">
      <c r="B87" s="40"/>
      <c r="C87" s="40"/>
      <c r="D87" s="40"/>
    </row>
    <row r="88">
      <c r="B88" s="40"/>
      <c r="C88" s="40"/>
      <c r="D88" s="40"/>
    </row>
    <row r="89">
      <c r="B89" s="40"/>
      <c r="C89" s="40"/>
      <c r="D89" s="40"/>
    </row>
    <row r="90">
      <c r="B90" s="40"/>
      <c r="C90" s="40"/>
      <c r="D90" s="40"/>
    </row>
    <row r="91">
      <c r="B91" s="40"/>
      <c r="C91" s="40"/>
      <c r="D91" s="40"/>
    </row>
    <row r="92">
      <c r="B92" s="40"/>
      <c r="C92" s="40"/>
      <c r="D92" s="40"/>
    </row>
    <row r="93">
      <c r="B93" s="40"/>
      <c r="C93" s="40"/>
      <c r="D93" s="40"/>
    </row>
    <row r="94">
      <c r="B94" s="40"/>
      <c r="C94" s="40"/>
      <c r="D94" s="40"/>
    </row>
    <row r="95">
      <c r="B95" s="40"/>
      <c r="C95" s="40"/>
      <c r="D95" s="40"/>
    </row>
    <row r="96">
      <c r="B96" s="40"/>
      <c r="C96" s="40"/>
      <c r="D96" s="40"/>
    </row>
    <row r="97">
      <c r="B97" s="40"/>
      <c r="C97" s="40"/>
      <c r="D97" s="40"/>
    </row>
    <row r="98">
      <c r="B98" s="40"/>
      <c r="C98" s="40"/>
      <c r="D98" s="40"/>
    </row>
    <row r="99">
      <c r="B99" s="40"/>
      <c r="C99" s="40"/>
      <c r="D99" s="40"/>
    </row>
    <row r="100">
      <c r="B100" s="40"/>
      <c r="C100" s="40"/>
      <c r="D100" s="40"/>
    </row>
    <row r="101">
      <c r="B101" s="40"/>
      <c r="C101" s="40"/>
      <c r="D101" s="40"/>
    </row>
    <row r="102">
      <c r="B102" s="40"/>
      <c r="C102" s="40"/>
      <c r="D102" s="40"/>
    </row>
    <row r="103">
      <c r="B103" s="40"/>
      <c r="C103" s="40"/>
      <c r="D103" s="40"/>
    </row>
    <row r="104">
      <c r="B104" s="40"/>
      <c r="C104" s="40"/>
      <c r="D104" s="40"/>
    </row>
    <row r="105">
      <c r="B105" s="40"/>
      <c r="C105" s="40"/>
      <c r="D105" s="40"/>
    </row>
    <row r="106">
      <c r="B106" s="40"/>
      <c r="C106" s="40"/>
      <c r="D106" s="40"/>
    </row>
    <row r="107">
      <c r="B107" s="40"/>
      <c r="C107" s="40"/>
      <c r="D107" s="40"/>
    </row>
    <row r="108">
      <c r="B108" s="40"/>
      <c r="C108" s="40"/>
      <c r="D108" s="40"/>
    </row>
    <row r="109">
      <c r="B109" s="40"/>
      <c r="C109" s="40"/>
      <c r="D109" s="40"/>
    </row>
    <row r="110">
      <c r="B110" s="40"/>
      <c r="C110" s="40"/>
      <c r="D110" s="40"/>
    </row>
    <row r="111">
      <c r="B111" s="40"/>
      <c r="C111" s="40"/>
      <c r="D111" s="40"/>
    </row>
    <row r="112">
      <c r="B112" s="40"/>
      <c r="C112" s="40"/>
      <c r="D112" s="40"/>
    </row>
    <row r="113">
      <c r="B113" s="40"/>
      <c r="C113" s="40"/>
      <c r="D113" s="40"/>
    </row>
    <row r="114">
      <c r="B114" s="40"/>
      <c r="C114" s="40"/>
      <c r="D114" s="40"/>
    </row>
    <row r="115">
      <c r="B115" s="40"/>
      <c r="C115" s="40"/>
      <c r="D115" s="40"/>
    </row>
    <row r="116">
      <c r="B116" s="40"/>
      <c r="C116" s="40"/>
      <c r="D116" s="40"/>
    </row>
    <row r="117">
      <c r="B117" s="40"/>
      <c r="C117" s="40"/>
      <c r="D117" s="40"/>
    </row>
    <row r="118">
      <c r="B118" s="40"/>
      <c r="C118" s="40"/>
      <c r="D118" s="40"/>
    </row>
    <row r="119">
      <c r="B119" s="40"/>
      <c r="C119" s="40"/>
      <c r="D119" s="40"/>
    </row>
    <row r="120">
      <c r="B120" s="40"/>
      <c r="C120" s="40"/>
      <c r="D120" s="40"/>
    </row>
    <row r="121">
      <c r="B121" s="40"/>
      <c r="C121" s="40"/>
      <c r="D121" s="40"/>
    </row>
    <row r="122">
      <c r="B122" s="40"/>
      <c r="C122" s="40"/>
      <c r="D122" s="40"/>
    </row>
    <row r="123">
      <c r="B123" s="40"/>
      <c r="C123" s="40"/>
      <c r="D123" s="40"/>
    </row>
    <row r="124">
      <c r="B124" s="40"/>
      <c r="C124" s="40"/>
      <c r="D124" s="40"/>
    </row>
    <row r="125">
      <c r="B125" s="40"/>
      <c r="C125" s="40"/>
      <c r="D125" s="40"/>
    </row>
    <row r="126">
      <c r="B126" s="40"/>
      <c r="C126" s="40"/>
      <c r="D126" s="40"/>
    </row>
    <row r="127">
      <c r="B127" s="40"/>
      <c r="C127" s="40"/>
      <c r="D127" s="40"/>
    </row>
    <row r="128">
      <c r="B128" s="40"/>
      <c r="C128" s="40"/>
      <c r="D128" s="40"/>
    </row>
    <row r="129">
      <c r="B129" s="40"/>
      <c r="C129" s="40"/>
      <c r="D129" s="40"/>
    </row>
    <row r="130">
      <c r="B130" s="40"/>
      <c r="C130" s="40"/>
      <c r="D130" s="40"/>
    </row>
    <row r="131">
      <c r="B131" s="40"/>
      <c r="C131" s="40"/>
      <c r="D131" s="40"/>
    </row>
    <row r="132">
      <c r="B132" s="40"/>
      <c r="C132" s="40"/>
      <c r="D132" s="40"/>
    </row>
    <row r="133">
      <c r="B133" s="40"/>
      <c r="C133" s="40"/>
      <c r="D133" s="40"/>
    </row>
    <row r="134">
      <c r="B134" s="40"/>
      <c r="C134" s="40"/>
      <c r="D134" s="40"/>
    </row>
    <row r="135">
      <c r="B135" s="40"/>
      <c r="C135" s="40"/>
      <c r="D135" s="40"/>
    </row>
    <row r="136">
      <c r="B136" s="40"/>
      <c r="C136" s="40"/>
      <c r="D136" s="40"/>
    </row>
    <row r="137">
      <c r="B137" s="40"/>
      <c r="C137" s="40"/>
      <c r="D137" s="40"/>
    </row>
    <row r="138">
      <c r="B138" s="40"/>
      <c r="C138" s="40"/>
      <c r="D138" s="40"/>
    </row>
    <row r="139">
      <c r="B139" s="40"/>
      <c r="C139" s="40"/>
      <c r="D139" s="40"/>
    </row>
    <row r="140">
      <c r="B140" s="40"/>
      <c r="C140" s="40"/>
      <c r="D140" s="40"/>
    </row>
    <row r="141">
      <c r="B141" s="40"/>
      <c r="C141" s="40"/>
      <c r="D141" s="40"/>
    </row>
    <row r="142">
      <c r="B142" s="40"/>
      <c r="C142" s="40"/>
      <c r="D142" s="40"/>
    </row>
    <row r="143">
      <c r="B143" s="40"/>
      <c r="C143" s="40"/>
      <c r="D143" s="40"/>
    </row>
    <row r="144">
      <c r="B144" s="40"/>
      <c r="C144" s="40"/>
      <c r="D144" s="40"/>
    </row>
    <row r="145">
      <c r="B145" s="40"/>
      <c r="C145" s="40"/>
      <c r="D145" s="40"/>
    </row>
    <row r="146">
      <c r="B146" s="40"/>
      <c r="C146" s="40"/>
      <c r="D146" s="40"/>
    </row>
    <row r="147">
      <c r="B147" s="40"/>
      <c r="C147" s="40"/>
      <c r="D147" s="40"/>
    </row>
    <row r="148">
      <c r="B148" s="40"/>
      <c r="C148" s="40"/>
      <c r="D148" s="40"/>
    </row>
    <row r="149">
      <c r="B149" s="40"/>
      <c r="C149" s="40"/>
      <c r="D149" s="40"/>
    </row>
    <row r="150">
      <c r="B150" s="40"/>
      <c r="C150" s="40"/>
      <c r="D150" s="40"/>
    </row>
    <row r="151">
      <c r="B151" s="40"/>
      <c r="C151" s="40"/>
      <c r="D151" s="40"/>
    </row>
    <row r="152">
      <c r="B152" s="40"/>
      <c r="C152" s="40"/>
      <c r="D152" s="40"/>
    </row>
    <row r="153">
      <c r="B153" s="40"/>
      <c r="C153" s="40"/>
      <c r="D153" s="40"/>
    </row>
    <row r="154">
      <c r="B154" s="40"/>
      <c r="C154" s="40"/>
      <c r="D154" s="40"/>
    </row>
    <row r="155">
      <c r="B155" s="40"/>
      <c r="C155" s="40"/>
      <c r="D155" s="40"/>
    </row>
    <row r="156">
      <c r="B156" s="40"/>
      <c r="C156" s="40"/>
      <c r="D156" s="40"/>
    </row>
    <row r="157">
      <c r="B157" s="40"/>
      <c r="C157" s="40"/>
      <c r="D157" s="40"/>
    </row>
    <row r="158">
      <c r="B158" s="40"/>
      <c r="C158" s="40"/>
      <c r="D158" s="40"/>
    </row>
    <row r="159">
      <c r="B159" s="40"/>
      <c r="C159" s="40"/>
      <c r="D159" s="40"/>
    </row>
    <row r="160">
      <c r="B160" s="40"/>
      <c r="C160" s="40"/>
      <c r="D160" s="40"/>
    </row>
    <row r="161">
      <c r="B161" s="40"/>
      <c r="C161" s="40"/>
      <c r="D161" s="40"/>
    </row>
    <row r="162">
      <c r="B162" s="40"/>
      <c r="C162" s="40"/>
      <c r="D162" s="40"/>
    </row>
    <row r="163">
      <c r="B163" s="40"/>
      <c r="C163" s="40"/>
      <c r="D163" s="40"/>
    </row>
    <row r="164">
      <c r="B164" s="40"/>
      <c r="C164" s="40"/>
      <c r="D164" s="40"/>
    </row>
    <row r="165">
      <c r="B165" s="40"/>
      <c r="C165" s="40"/>
      <c r="D165" s="40"/>
    </row>
    <row r="166">
      <c r="B166" s="40"/>
      <c r="C166" s="40"/>
      <c r="D166" s="40"/>
    </row>
    <row r="167">
      <c r="B167" s="40"/>
      <c r="C167" s="40"/>
      <c r="D167" s="40"/>
    </row>
    <row r="168">
      <c r="B168" s="40"/>
      <c r="C168" s="40"/>
      <c r="D168" s="40"/>
    </row>
    <row r="169">
      <c r="B169" s="40"/>
      <c r="C169" s="40"/>
      <c r="D169" s="40"/>
    </row>
    <row r="170">
      <c r="B170" s="40"/>
      <c r="C170" s="40"/>
      <c r="D170" s="40"/>
    </row>
    <row r="171">
      <c r="B171" s="40"/>
      <c r="C171" s="40"/>
      <c r="D171" s="40"/>
    </row>
    <row r="172">
      <c r="B172" s="40"/>
      <c r="C172" s="40"/>
      <c r="D172" s="40"/>
    </row>
    <row r="173">
      <c r="B173" s="40"/>
      <c r="C173" s="40"/>
      <c r="D173" s="40"/>
    </row>
    <row r="174">
      <c r="B174" s="40"/>
      <c r="C174" s="40"/>
      <c r="D174" s="40"/>
    </row>
    <row r="175">
      <c r="B175" s="40"/>
      <c r="C175" s="40"/>
      <c r="D175" s="40"/>
    </row>
    <row r="176">
      <c r="B176" s="40"/>
      <c r="C176" s="40"/>
      <c r="D176" s="40"/>
    </row>
    <row r="177">
      <c r="B177" s="40"/>
      <c r="C177" s="40"/>
      <c r="D177" s="40"/>
    </row>
    <row r="178">
      <c r="B178" s="40"/>
      <c r="C178" s="40"/>
      <c r="D178" s="40"/>
    </row>
    <row r="179">
      <c r="B179" s="40"/>
      <c r="C179" s="40"/>
      <c r="D179" s="40"/>
    </row>
    <row r="180">
      <c r="B180" s="40"/>
      <c r="C180" s="40"/>
      <c r="D180" s="40"/>
    </row>
    <row r="181">
      <c r="B181" s="40"/>
      <c r="C181" s="40"/>
      <c r="D181" s="40"/>
    </row>
    <row r="182">
      <c r="B182" s="40"/>
      <c r="C182" s="40"/>
      <c r="D182" s="40"/>
    </row>
    <row r="183">
      <c r="B183" s="40"/>
      <c r="C183" s="40"/>
      <c r="D183" s="40"/>
    </row>
    <row r="184">
      <c r="B184" s="40"/>
      <c r="C184" s="40"/>
      <c r="D184" s="40"/>
    </row>
    <row r="185">
      <c r="B185" s="40"/>
      <c r="C185" s="40"/>
      <c r="D185" s="40"/>
    </row>
    <row r="186">
      <c r="B186" s="40"/>
      <c r="C186" s="40"/>
      <c r="D186" s="40"/>
    </row>
    <row r="187">
      <c r="B187" s="40"/>
      <c r="C187" s="40"/>
      <c r="D187" s="40"/>
    </row>
    <row r="188">
      <c r="B188" s="40"/>
      <c r="C188" s="40"/>
      <c r="D188" s="40"/>
    </row>
    <row r="189">
      <c r="B189" s="40"/>
      <c r="C189" s="40"/>
      <c r="D189" s="40"/>
    </row>
    <row r="190">
      <c r="B190" s="40"/>
      <c r="C190" s="40"/>
      <c r="D190" s="40"/>
    </row>
    <row r="191">
      <c r="B191" s="40"/>
      <c r="C191" s="40"/>
      <c r="D191" s="40"/>
    </row>
    <row r="192">
      <c r="B192" s="40"/>
      <c r="C192" s="40"/>
      <c r="D192" s="40"/>
    </row>
    <row r="193">
      <c r="B193" s="40"/>
      <c r="C193" s="40"/>
      <c r="D193" s="40"/>
    </row>
    <row r="194">
      <c r="B194" s="40"/>
      <c r="C194" s="40"/>
      <c r="D194" s="40"/>
    </row>
    <row r="195">
      <c r="B195" s="40"/>
      <c r="C195" s="40"/>
      <c r="D195" s="40"/>
    </row>
    <row r="196">
      <c r="B196" s="40"/>
      <c r="C196" s="40"/>
      <c r="D196" s="40"/>
    </row>
    <row r="197">
      <c r="B197" s="40"/>
      <c r="C197" s="40"/>
      <c r="D197" s="40"/>
    </row>
    <row r="198">
      <c r="B198" s="40"/>
      <c r="C198" s="40"/>
      <c r="D198" s="40"/>
    </row>
    <row r="199">
      <c r="B199" s="40"/>
      <c r="C199" s="40"/>
      <c r="D199" s="40"/>
    </row>
    <row r="200">
      <c r="B200" s="40"/>
      <c r="C200" s="40"/>
      <c r="D200" s="40"/>
    </row>
    <row r="201">
      <c r="B201" s="40"/>
      <c r="C201" s="40"/>
      <c r="D201" s="40"/>
    </row>
    <row r="202">
      <c r="B202" s="40"/>
      <c r="C202" s="40"/>
      <c r="D202" s="40"/>
    </row>
    <row r="203">
      <c r="B203" s="40"/>
      <c r="C203" s="40"/>
      <c r="D203" s="40"/>
    </row>
    <row r="204">
      <c r="B204" s="40"/>
      <c r="C204" s="40"/>
      <c r="D204" s="40"/>
    </row>
    <row r="205">
      <c r="B205" s="40"/>
      <c r="C205" s="40"/>
      <c r="D205" s="40"/>
    </row>
    <row r="206">
      <c r="B206" s="40"/>
      <c r="C206" s="40"/>
      <c r="D206" s="40"/>
    </row>
    <row r="207">
      <c r="B207" s="40"/>
      <c r="C207" s="40"/>
      <c r="D207" s="40"/>
    </row>
    <row r="208">
      <c r="B208" s="40"/>
      <c r="C208" s="40"/>
      <c r="D208" s="40"/>
    </row>
    <row r="209">
      <c r="B209" s="40"/>
      <c r="C209" s="40"/>
      <c r="D209" s="40"/>
    </row>
    <row r="210">
      <c r="B210" s="40"/>
      <c r="C210" s="40"/>
      <c r="D210" s="40"/>
    </row>
    <row r="211">
      <c r="B211" s="40"/>
      <c r="C211" s="40"/>
      <c r="D211" s="40"/>
    </row>
    <row r="212">
      <c r="B212" s="40"/>
      <c r="C212" s="40"/>
      <c r="D212" s="40"/>
    </row>
    <row r="213">
      <c r="B213" s="40"/>
      <c r="C213" s="40"/>
      <c r="D213" s="40"/>
    </row>
    <row r="214">
      <c r="B214" s="40"/>
      <c r="C214" s="40"/>
      <c r="D214" s="40"/>
    </row>
    <row r="215">
      <c r="B215" s="40"/>
      <c r="C215" s="40"/>
      <c r="D215" s="40"/>
    </row>
    <row r="216">
      <c r="B216" s="40"/>
      <c r="C216" s="40"/>
      <c r="D216" s="40"/>
    </row>
    <row r="217">
      <c r="B217" s="40"/>
      <c r="C217" s="40"/>
      <c r="D217" s="40"/>
    </row>
    <row r="218">
      <c r="B218" s="40"/>
      <c r="C218" s="40"/>
      <c r="D218" s="40"/>
    </row>
    <row r="219">
      <c r="B219" s="40"/>
      <c r="C219" s="40"/>
      <c r="D219" s="40"/>
    </row>
    <row r="220">
      <c r="B220" s="40"/>
      <c r="C220" s="40"/>
      <c r="D220" s="40"/>
    </row>
    <row r="221">
      <c r="B221" s="40"/>
      <c r="C221" s="40"/>
      <c r="D221" s="40"/>
    </row>
    <row r="222">
      <c r="B222" s="40"/>
      <c r="C222" s="40"/>
      <c r="D222" s="40"/>
    </row>
    <row r="223">
      <c r="B223" s="40"/>
      <c r="C223" s="40"/>
      <c r="D223" s="40"/>
    </row>
    <row r="224">
      <c r="B224" s="40"/>
      <c r="C224" s="40"/>
      <c r="D224" s="40"/>
    </row>
    <row r="225">
      <c r="B225" s="40"/>
      <c r="C225" s="40"/>
      <c r="D225" s="40"/>
    </row>
    <row r="226">
      <c r="B226" s="40"/>
      <c r="C226" s="40"/>
      <c r="D226" s="40"/>
    </row>
    <row r="227">
      <c r="B227" s="40"/>
      <c r="C227" s="40"/>
      <c r="D227" s="40"/>
    </row>
    <row r="228">
      <c r="B228" s="40"/>
      <c r="C228" s="40"/>
      <c r="D228" s="40"/>
    </row>
    <row r="229">
      <c r="B229" s="40"/>
      <c r="C229" s="40"/>
      <c r="D229" s="40"/>
    </row>
    <row r="230">
      <c r="B230" s="40"/>
      <c r="C230" s="40"/>
      <c r="D230" s="40"/>
    </row>
    <row r="231">
      <c r="B231" s="40"/>
      <c r="C231" s="40"/>
      <c r="D231" s="40"/>
    </row>
    <row r="232">
      <c r="B232" s="40"/>
      <c r="C232" s="40"/>
      <c r="D232" s="40"/>
    </row>
    <row r="233">
      <c r="B233" s="40"/>
      <c r="C233" s="40"/>
      <c r="D233" s="40"/>
    </row>
    <row r="234">
      <c r="B234" s="40"/>
      <c r="C234" s="40"/>
      <c r="D234" s="40"/>
    </row>
    <row r="235">
      <c r="B235" s="40"/>
      <c r="C235" s="40"/>
      <c r="D235" s="40"/>
    </row>
    <row r="236">
      <c r="B236" s="40"/>
      <c r="C236" s="40"/>
      <c r="D236" s="40"/>
    </row>
    <row r="237">
      <c r="B237" s="40"/>
      <c r="C237" s="40"/>
      <c r="D237" s="40"/>
    </row>
    <row r="238">
      <c r="B238" s="40"/>
      <c r="C238" s="40"/>
      <c r="D238" s="40"/>
    </row>
    <row r="239">
      <c r="B239" s="40"/>
      <c r="C239" s="40"/>
      <c r="D239" s="40"/>
    </row>
    <row r="240">
      <c r="B240" s="40"/>
      <c r="C240" s="40"/>
      <c r="D240" s="40"/>
    </row>
    <row r="241">
      <c r="B241" s="40"/>
      <c r="C241" s="40"/>
      <c r="D241" s="40"/>
    </row>
    <row r="242">
      <c r="B242" s="40"/>
      <c r="C242" s="40"/>
      <c r="D242" s="40"/>
    </row>
    <row r="243">
      <c r="B243" s="40"/>
      <c r="C243" s="40"/>
      <c r="D243" s="40"/>
    </row>
    <row r="244">
      <c r="B244" s="40"/>
      <c r="C244" s="40"/>
      <c r="D244" s="40"/>
    </row>
    <row r="245">
      <c r="B245" s="40"/>
      <c r="C245" s="40"/>
      <c r="D245" s="40"/>
    </row>
    <row r="246">
      <c r="B246" s="40"/>
      <c r="C246" s="40"/>
      <c r="D246" s="40"/>
    </row>
    <row r="247">
      <c r="B247" s="40"/>
      <c r="C247" s="40"/>
      <c r="D247" s="40"/>
    </row>
    <row r="248">
      <c r="B248" s="40"/>
      <c r="C248" s="40"/>
      <c r="D248" s="40"/>
    </row>
    <row r="249">
      <c r="B249" s="40"/>
      <c r="C249" s="40"/>
      <c r="D249" s="40"/>
    </row>
    <row r="250">
      <c r="B250" s="40"/>
      <c r="C250" s="40"/>
      <c r="D250" s="40"/>
    </row>
    <row r="251">
      <c r="B251" s="40"/>
      <c r="C251" s="40"/>
      <c r="D251" s="40"/>
    </row>
    <row r="252">
      <c r="B252" s="40"/>
      <c r="C252" s="40"/>
      <c r="D252" s="40"/>
    </row>
    <row r="253">
      <c r="B253" s="40"/>
      <c r="C253" s="40"/>
      <c r="D253" s="40"/>
    </row>
    <row r="254">
      <c r="B254" s="40"/>
      <c r="C254" s="40"/>
      <c r="D254" s="40"/>
    </row>
    <row r="255">
      <c r="B255" s="40"/>
      <c r="C255" s="40"/>
      <c r="D255" s="40"/>
    </row>
    <row r="256">
      <c r="B256" s="40"/>
      <c r="C256" s="40"/>
      <c r="D256" s="40"/>
    </row>
    <row r="257">
      <c r="B257" s="40"/>
      <c r="C257" s="40"/>
      <c r="D257" s="40"/>
    </row>
    <row r="258">
      <c r="B258" s="40"/>
      <c r="C258" s="40"/>
      <c r="D258" s="40"/>
    </row>
    <row r="259">
      <c r="B259" s="40"/>
      <c r="C259" s="40"/>
      <c r="D259" s="40"/>
    </row>
    <row r="260">
      <c r="B260" s="40"/>
      <c r="C260" s="40"/>
      <c r="D260" s="40"/>
    </row>
    <row r="261">
      <c r="B261" s="40"/>
      <c r="C261" s="40"/>
      <c r="D261" s="40"/>
    </row>
    <row r="262">
      <c r="B262" s="40"/>
      <c r="C262" s="40"/>
      <c r="D262" s="40"/>
    </row>
    <row r="263">
      <c r="B263" s="40"/>
      <c r="C263" s="40"/>
      <c r="D263" s="40"/>
    </row>
    <row r="264">
      <c r="B264" s="40"/>
      <c r="C264" s="40"/>
      <c r="D264" s="40"/>
    </row>
    <row r="265">
      <c r="B265" s="40"/>
      <c r="C265" s="40"/>
      <c r="D265" s="40"/>
    </row>
    <row r="266">
      <c r="B266" s="40"/>
      <c r="C266" s="40"/>
      <c r="D266" s="40"/>
    </row>
    <row r="267">
      <c r="B267" s="40"/>
      <c r="C267" s="40"/>
      <c r="D267" s="40"/>
    </row>
    <row r="268">
      <c r="B268" s="40"/>
      <c r="C268" s="40"/>
      <c r="D268" s="40"/>
    </row>
    <row r="269">
      <c r="B269" s="40"/>
      <c r="C269" s="40"/>
      <c r="D269" s="40"/>
    </row>
    <row r="270">
      <c r="B270" s="40"/>
      <c r="C270" s="40"/>
      <c r="D270" s="40"/>
    </row>
    <row r="271">
      <c r="B271" s="40"/>
      <c r="C271" s="40"/>
      <c r="D271" s="40"/>
    </row>
    <row r="272">
      <c r="B272" s="40"/>
      <c r="C272" s="40"/>
      <c r="D272" s="40"/>
    </row>
    <row r="273">
      <c r="B273" s="40"/>
      <c r="C273" s="40"/>
      <c r="D273" s="40"/>
    </row>
    <row r="274">
      <c r="B274" s="40"/>
      <c r="C274" s="40"/>
      <c r="D274" s="40"/>
    </row>
    <row r="275">
      <c r="B275" s="40"/>
      <c r="C275" s="40"/>
      <c r="D275" s="40"/>
    </row>
    <row r="276">
      <c r="B276" s="40"/>
      <c r="C276" s="40"/>
      <c r="D276" s="40"/>
    </row>
    <row r="277">
      <c r="B277" s="40"/>
      <c r="C277" s="40"/>
      <c r="D277" s="40"/>
    </row>
    <row r="278">
      <c r="B278" s="40"/>
      <c r="C278" s="40"/>
      <c r="D278" s="40"/>
    </row>
    <row r="279">
      <c r="B279" s="40"/>
      <c r="C279" s="40"/>
      <c r="D279" s="40"/>
    </row>
    <row r="280">
      <c r="B280" s="40"/>
      <c r="C280" s="40"/>
      <c r="D280" s="40"/>
    </row>
    <row r="281">
      <c r="B281" s="40"/>
      <c r="C281" s="40"/>
      <c r="D281" s="40"/>
    </row>
    <row r="282">
      <c r="B282" s="40"/>
      <c r="C282" s="40"/>
      <c r="D282" s="40"/>
    </row>
    <row r="283">
      <c r="B283" s="40"/>
      <c r="C283" s="40"/>
      <c r="D283" s="40"/>
    </row>
    <row r="284">
      <c r="B284" s="40"/>
      <c r="C284" s="40"/>
      <c r="D284" s="40"/>
    </row>
    <row r="285">
      <c r="B285" s="40"/>
      <c r="C285" s="40"/>
      <c r="D285" s="40"/>
    </row>
    <row r="286">
      <c r="B286" s="40"/>
      <c r="C286" s="40"/>
      <c r="D286" s="40"/>
    </row>
    <row r="287">
      <c r="B287" s="40"/>
      <c r="C287" s="40"/>
      <c r="D287" s="40"/>
    </row>
    <row r="288">
      <c r="B288" s="40"/>
      <c r="C288" s="40"/>
      <c r="D288" s="40"/>
    </row>
    <row r="289">
      <c r="B289" s="40"/>
      <c r="C289" s="40"/>
      <c r="D289" s="40"/>
    </row>
    <row r="290">
      <c r="B290" s="40"/>
      <c r="C290" s="40"/>
      <c r="D290" s="40"/>
    </row>
    <row r="291">
      <c r="B291" s="40"/>
      <c r="C291" s="40"/>
      <c r="D291" s="40"/>
    </row>
    <row r="292">
      <c r="B292" s="40"/>
      <c r="C292" s="40"/>
      <c r="D292" s="40"/>
    </row>
    <row r="293">
      <c r="B293" s="40"/>
      <c r="C293" s="40"/>
      <c r="D293" s="40"/>
    </row>
    <row r="294">
      <c r="B294" s="40"/>
      <c r="C294" s="40"/>
      <c r="D294" s="40"/>
    </row>
    <row r="295">
      <c r="B295" s="40"/>
      <c r="C295" s="40"/>
      <c r="D295" s="40"/>
    </row>
    <row r="296">
      <c r="B296" s="40"/>
      <c r="C296" s="40"/>
      <c r="D296" s="40"/>
    </row>
    <row r="297">
      <c r="B297" s="40"/>
      <c r="C297" s="40"/>
      <c r="D297" s="40"/>
    </row>
    <row r="298">
      <c r="B298" s="40"/>
      <c r="C298" s="40"/>
      <c r="D298" s="40"/>
    </row>
    <row r="299">
      <c r="B299" s="40"/>
      <c r="C299" s="40"/>
      <c r="D299" s="40"/>
    </row>
    <row r="300">
      <c r="B300" s="40"/>
      <c r="C300" s="40"/>
      <c r="D300" s="40"/>
    </row>
    <row r="301">
      <c r="B301" s="40"/>
      <c r="C301" s="40"/>
      <c r="D301" s="40"/>
    </row>
    <row r="302">
      <c r="B302" s="40"/>
      <c r="C302" s="40"/>
      <c r="D302" s="40"/>
    </row>
    <row r="303">
      <c r="B303" s="40"/>
      <c r="C303" s="40"/>
      <c r="D303" s="40"/>
    </row>
    <row r="304">
      <c r="B304" s="40"/>
      <c r="C304" s="40"/>
      <c r="D304" s="40"/>
    </row>
    <row r="305">
      <c r="B305" s="40"/>
      <c r="C305" s="40"/>
      <c r="D305" s="40"/>
    </row>
    <row r="306">
      <c r="B306" s="40"/>
      <c r="C306" s="40"/>
      <c r="D306" s="40"/>
    </row>
    <row r="307">
      <c r="B307" s="40"/>
      <c r="C307" s="40"/>
      <c r="D307" s="40"/>
    </row>
    <row r="308">
      <c r="B308" s="40"/>
      <c r="C308" s="40"/>
      <c r="D308" s="40"/>
    </row>
    <row r="309">
      <c r="B309" s="40"/>
      <c r="C309" s="40"/>
      <c r="D309" s="40"/>
    </row>
    <row r="310">
      <c r="B310" s="40"/>
      <c r="C310" s="40"/>
      <c r="D310" s="40"/>
    </row>
    <row r="311">
      <c r="B311" s="40"/>
      <c r="C311" s="40"/>
      <c r="D311" s="40"/>
    </row>
    <row r="312">
      <c r="B312" s="40"/>
      <c r="C312" s="40"/>
      <c r="D312" s="40"/>
    </row>
    <row r="313">
      <c r="B313" s="40"/>
      <c r="C313" s="40"/>
      <c r="D313" s="40"/>
    </row>
    <row r="314">
      <c r="B314" s="40"/>
      <c r="C314" s="40"/>
      <c r="D314" s="40"/>
    </row>
    <row r="315">
      <c r="B315" s="40"/>
      <c r="C315" s="40"/>
      <c r="D315" s="40"/>
    </row>
    <row r="316">
      <c r="B316" s="40"/>
      <c r="C316" s="40"/>
      <c r="D316" s="40"/>
    </row>
    <row r="317">
      <c r="B317" s="40"/>
      <c r="C317" s="40"/>
      <c r="D317" s="40"/>
    </row>
    <row r="318">
      <c r="B318" s="40"/>
      <c r="C318" s="40"/>
      <c r="D318" s="40"/>
    </row>
    <row r="319">
      <c r="B319" s="40"/>
      <c r="C319" s="40"/>
      <c r="D319" s="40"/>
    </row>
    <row r="320">
      <c r="B320" s="40"/>
      <c r="C320" s="40"/>
      <c r="D320" s="40"/>
    </row>
    <row r="321">
      <c r="B321" s="40"/>
      <c r="C321" s="40"/>
      <c r="D321" s="40"/>
    </row>
    <row r="322">
      <c r="B322" s="40"/>
      <c r="C322" s="40"/>
      <c r="D322" s="40"/>
    </row>
    <row r="323">
      <c r="B323" s="40"/>
      <c r="C323" s="40"/>
      <c r="D323" s="40"/>
    </row>
    <row r="324">
      <c r="B324" s="40"/>
      <c r="C324" s="40"/>
      <c r="D324" s="40"/>
    </row>
    <row r="325">
      <c r="B325" s="40"/>
      <c r="C325" s="40"/>
      <c r="D325" s="40"/>
    </row>
    <row r="326">
      <c r="B326" s="40"/>
      <c r="C326" s="40"/>
      <c r="D326" s="40"/>
    </row>
    <row r="327">
      <c r="B327" s="40"/>
      <c r="C327" s="40"/>
      <c r="D327" s="40"/>
    </row>
    <row r="328">
      <c r="B328" s="40"/>
      <c r="C328" s="40"/>
      <c r="D328" s="40"/>
    </row>
    <row r="329">
      <c r="B329" s="40"/>
      <c r="C329" s="40"/>
      <c r="D329" s="40"/>
    </row>
    <row r="330">
      <c r="B330" s="40"/>
      <c r="C330" s="40"/>
      <c r="D330" s="40"/>
    </row>
    <row r="331">
      <c r="B331" s="40"/>
      <c r="C331" s="40"/>
      <c r="D331" s="40"/>
    </row>
    <row r="332">
      <c r="B332" s="40"/>
      <c r="C332" s="40"/>
      <c r="D332" s="40"/>
    </row>
    <row r="333">
      <c r="B333" s="40"/>
      <c r="C333" s="40"/>
      <c r="D333" s="40"/>
    </row>
    <row r="334">
      <c r="B334" s="40"/>
      <c r="C334" s="40"/>
      <c r="D334" s="40"/>
    </row>
    <row r="335">
      <c r="B335" s="40"/>
      <c r="C335" s="40"/>
      <c r="D335" s="40"/>
    </row>
    <row r="336">
      <c r="B336" s="40"/>
      <c r="C336" s="40"/>
      <c r="D336" s="40"/>
    </row>
    <row r="337">
      <c r="B337" s="40"/>
      <c r="C337" s="40"/>
      <c r="D337" s="40"/>
    </row>
    <row r="338">
      <c r="B338" s="40"/>
      <c r="C338" s="40"/>
      <c r="D338" s="40"/>
    </row>
    <row r="339">
      <c r="B339" s="40"/>
      <c r="C339" s="40"/>
      <c r="D339" s="40"/>
    </row>
    <row r="340">
      <c r="B340" s="40"/>
      <c r="C340" s="40"/>
      <c r="D340" s="40"/>
    </row>
    <row r="341">
      <c r="B341" s="40"/>
      <c r="C341" s="40"/>
      <c r="D341" s="40"/>
    </row>
    <row r="342">
      <c r="B342" s="40"/>
      <c r="C342" s="40"/>
      <c r="D342" s="40"/>
    </row>
    <row r="343">
      <c r="B343" s="40"/>
      <c r="C343" s="40"/>
      <c r="D343" s="40"/>
    </row>
    <row r="344">
      <c r="B344" s="40"/>
      <c r="C344" s="40"/>
      <c r="D344" s="40"/>
    </row>
    <row r="345">
      <c r="B345" s="40"/>
      <c r="C345" s="40"/>
      <c r="D345" s="40"/>
    </row>
    <row r="346">
      <c r="B346" s="40"/>
      <c r="C346" s="40"/>
      <c r="D346" s="40"/>
    </row>
    <row r="347">
      <c r="B347" s="40"/>
      <c r="C347" s="40"/>
      <c r="D347" s="40"/>
    </row>
    <row r="348">
      <c r="B348" s="40"/>
      <c r="C348" s="40"/>
      <c r="D348" s="40"/>
    </row>
    <row r="349">
      <c r="B349" s="40"/>
      <c r="C349" s="40"/>
      <c r="D349" s="40"/>
    </row>
    <row r="350">
      <c r="B350" s="40"/>
      <c r="C350" s="40"/>
      <c r="D350" s="40"/>
    </row>
    <row r="351">
      <c r="B351" s="40"/>
      <c r="C351" s="40"/>
      <c r="D351" s="40"/>
    </row>
    <row r="352">
      <c r="B352" s="40"/>
      <c r="C352" s="40"/>
      <c r="D352" s="40"/>
    </row>
    <row r="353">
      <c r="B353" s="40"/>
      <c r="C353" s="40"/>
      <c r="D353" s="40"/>
    </row>
    <row r="354">
      <c r="B354" s="40"/>
      <c r="C354" s="40"/>
      <c r="D354" s="40"/>
    </row>
    <row r="355">
      <c r="B355" s="40"/>
      <c r="C355" s="40"/>
      <c r="D355" s="40"/>
    </row>
    <row r="356">
      <c r="B356" s="40"/>
      <c r="C356" s="40"/>
      <c r="D356" s="40"/>
    </row>
    <row r="357">
      <c r="B357" s="40"/>
      <c r="C357" s="40"/>
      <c r="D357" s="40"/>
    </row>
    <row r="358">
      <c r="B358" s="40"/>
      <c r="C358" s="40"/>
      <c r="D358" s="40"/>
    </row>
    <row r="359">
      <c r="B359" s="40"/>
      <c r="C359" s="40"/>
      <c r="D359" s="40"/>
    </row>
    <row r="360">
      <c r="B360" s="40"/>
      <c r="C360" s="40"/>
      <c r="D360" s="40"/>
    </row>
    <row r="361">
      <c r="B361" s="40"/>
      <c r="C361" s="40"/>
      <c r="D361" s="40"/>
    </row>
    <row r="362">
      <c r="B362" s="40"/>
      <c r="C362" s="40"/>
      <c r="D362" s="40"/>
    </row>
    <row r="363">
      <c r="B363" s="40"/>
      <c r="C363" s="40"/>
      <c r="D363" s="40"/>
    </row>
    <row r="364">
      <c r="B364" s="40"/>
      <c r="C364" s="40"/>
      <c r="D364" s="40"/>
    </row>
    <row r="365">
      <c r="B365" s="40"/>
      <c r="C365" s="40"/>
      <c r="D365" s="40"/>
    </row>
    <row r="366">
      <c r="B366" s="40"/>
      <c r="C366" s="40"/>
      <c r="D366" s="40"/>
    </row>
    <row r="367">
      <c r="B367" s="40"/>
      <c r="C367" s="40"/>
      <c r="D367" s="40"/>
    </row>
    <row r="368">
      <c r="B368" s="40"/>
      <c r="C368" s="40"/>
      <c r="D368" s="40"/>
    </row>
    <row r="369">
      <c r="B369" s="40"/>
      <c r="C369" s="40"/>
      <c r="D369" s="40"/>
    </row>
    <row r="370">
      <c r="B370" s="40"/>
      <c r="C370" s="40"/>
      <c r="D370" s="40"/>
    </row>
    <row r="371">
      <c r="B371" s="40"/>
      <c r="C371" s="40"/>
      <c r="D371" s="40"/>
    </row>
    <row r="372">
      <c r="B372" s="40"/>
      <c r="C372" s="40"/>
      <c r="D372" s="40"/>
    </row>
    <row r="373">
      <c r="B373" s="40"/>
      <c r="C373" s="40"/>
      <c r="D373" s="40"/>
    </row>
    <row r="374">
      <c r="B374" s="40"/>
      <c r="C374" s="40"/>
      <c r="D374" s="40"/>
    </row>
    <row r="375">
      <c r="B375" s="40"/>
      <c r="C375" s="40"/>
      <c r="D375" s="40"/>
    </row>
    <row r="376">
      <c r="B376" s="40"/>
      <c r="C376" s="40"/>
      <c r="D376" s="40"/>
    </row>
    <row r="377">
      <c r="B377" s="40"/>
      <c r="C377" s="40"/>
      <c r="D377" s="40"/>
    </row>
    <row r="378">
      <c r="B378" s="40"/>
      <c r="C378" s="40"/>
      <c r="D378" s="40"/>
    </row>
    <row r="379">
      <c r="B379" s="40"/>
      <c r="C379" s="40"/>
      <c r="D379" s="40"/>
    </row>
    <row r="380">
      <c r="B380" s="40"/>
      <c r="C380" s="40"/>
      <c r="D380" s="40"/>
    </row>
    <row r="381">
      <c r="B381" s="40"/>
      <c r="C381" s="40"/>
      <c r="D381" s="40"/>
    </row>
    <row r="382">
      <c r="B382" s="40"/>
      <c r="C382" s="40"/>
      <c r="D382" s="40"/>
    </row>
    <row r="383">
      <c r="B383" s="40"/>
      <c r="C383" s="40"/>
      <c r="D383" s="40"/>
    </row>
    <row r="384">
      <c r="B384" s="40"/>
      <c r="C384" s="40"/>
      <c r="D384" s="40"/>
    </row>
    <row r="385">
      <c r="B385" s="40"/>
      <c r="C385" s="40"/>
      <c r="D385" s="40"/>
    </row>
    <row r="386">
      <c r="B386" s="40"/>
      <c r="C386" s="40"/>
      <c r="D386" s="40"/>
    </row>
    <row r="387">
      <c r="B387" s="40"/>
      <c r="C387" s="40"/>
      <c r="D387" s="40"/>
    </row>
    <row r="388">
      <c r="B388" s="40"/>
      <c r="C388" s="40"/>
      <c r="D388" s="40"/>
    </row>
    <row r="389">
      <c r="B389" s="40"/>
      <c r="C389" s="40"/>
      <c r="D389" s="40"/>
    </row>
    <row r="390">
      <c r="B390" s="40"/>
      <c r="C390" s="40"/>
      <c r="D390" s="40"/>
    </row>
    <row r="391">
      <c r="B391" s="40"/>
      <c r="C391" s="40"/>
      <c r="D391" s="40"/>
    </row>
    <row r="392">
      <c r="B392" s="40"/>
      <c r="C392" s="40"/>
      <c r="D392" s="40"/>
    </row>
    <row r="393">
      <c r="B393" s="40"/>
      <c r="C393" s="40"/>
      <c r="D393" s="40"/>
    </row>
    <row r="394">
      <c r="B394" s="40"/>
      <c r="C394" s="40"/>
      <c r="D394" s="40"/>
    </row>
    <row r="395">
      <c r="B395" s="40"/>
      <c r="C395" s="40"/>
      <c r="D395" s="40"/>
    </row>
    <row r="396">
      <c r="B396" s="40"/>
      <c r="C396" s="40"/>
      <c r="D396" s="40"/>
    </row>
    <row r="397">
      <c r="B397" s="40"/>
      <c r="C397" s="40"/>
      <c r="D397" s="40"/>
    </row>
    <row r="398">
      <c r="B398" s="40"/>
      <c r="C398" s="40"/>
      <c r="D398" s="40"/>
    </row>
    <row r="399">
      <c r="B399" s="40"/>
      <c r="C399" s="40"/>
      <c r="D399" s="40"/>
    </row>
    <row r="400">
      <c r="B400" s="40"/>
      <c r="C400" s="40"/>
      <c r="D400" s="40"/>
    </row>
    <row r="401">
      <c r="B401" s="40"/>
      <c r="C401" s="40"/>
      <c r="D401" s="40"/>
    </row>
    <row r="402">
      <c r="B402" s="40"/>
      <c r="C402" s="40"/>
      <c r="D402" s="40"/>
    </row>
    <row r="403">
      <c r="B403" s="40"/>
      <c r="C403" s="40"/>
      <c r="D403" s="40"/>
    </row>
    <row r="404">
      <c r="B404" s="40"/>
      <c r="C404" s="40"/>
      <c r="D404" s="40"/>
    </row>
    <row r="405">
      <c r="B405" s="40"/>
      <c r="C405" s="40"/>
      <c r="D405" s="40"/>
    </row>
    <row r="406">
      <c r="B406" s="40"/>
      <c r="C406" s="40"/>
      <c r="D406" s="40"/>
    </row>
    <row r="407">
      <c r="B407" s="40"/>
      <c r="C407" s="40"/>
      <c r="D407" s="40"/>
    </row>
    <row r="408">
      <c r="B408" s="40"/>
      <c r="C408" s="40"/>
      <c r="D408" s="40"/>
    </row>
    <row r="409">
      <c r="B409" s="40"/>
      <c r="C409" s="40"/>
      <c r="D409" s="40"/>
    </row>
    <row r="410">
      <c r="B410" s="40"/>
      <c r="C410" s="40"/>
      <c r="D410" s="40"/>
    </row>
    <row r="411">
      <c r="B411" s="40"/>
      <c r="C411" s="40"/>
      <c r="D411" s="40"/>
    </row>
    <row r="412">
      <c r="B412" s="40"/>
      <c r="C412" s="40"/>
      <c r="D412" s="40"/>
    </row>
    <row r="413">
      <c r="B413" s="40"/>
      <c r="C413" s="40"/>
      <c r="D413" s="40"/>
    </row>
    <row r="414">
      <c r="B414" s="40"/>
      <c r="C414" s="40"/>
      <c r="D414" s="40"/>
    </row>
    <row r="415">
      <c r="B415" s="40"/>
      <c r="C415" s="40"/>
      <c r="D415" s="40"/>
    </row>
    <row r="416">
      <c r="B416" s="40"/>
      <c r="C416" s="40"/>
      <c r="D416" s="40"/>
    </row>
    <row r="417">
      <c r="B417" s="40"/>
      <c r="C417" s="40"/>
      <c r="D417" s="40"/>
    </row>
    <row r="418">
      <c r="B418" s="40"/>
      <c r="C418" s="40"/>
      <c r="D418" s="40"/>
    </row>
    <row r="419">
      <c r="B419" s="40"/>
      <c r="C419" s="40"/>
      <c r="D419" s="40"/>
    </row>
    <row r="420">
      <c r="B420" s="40"/>
      <c r="C420" s="40"/>
      <c r="D420" s="40"/>
    </row>
    <row r="421">
      <c r="B421" s="40"/>
      <c r="C421" s="40"/>
      <c r="D421" s="40"/>
    </row>
    <row r="422">
      <c r="B422" s="40"/>
      <c r="C422" s="40"/>
      <c r="D422" s="40"/>
    </row>
    <row r="423">
      <c r="B423" s="40"/>
      <c r="C423" s="40"/>
      <c r="D423" s="40"/>
    </row>
    <row r="424">
      <c r="B424" s="40"/>
      <c r="C424" s="40"/>
      <c r="D424" s="40"/>
    </row>
    <row r="425">
      <c r="B425" s="40"/>
      <c r="C425" s="40"/>
      <c r="D425" s="40"/>
    </row>
    <row r="426">
      <c r="B426" s="40"/>
      <c r="C426" s="40"/>
      <c r="D426" s="40"/>
    </row>
    <row r="427">
      <c r="B427" s="40"/>
      <c r="C427" s="40"/>
      <c r="D427" s="40"/>
    </row>
    <row r="428">
      <c r="B428" s="40"/>
      <c r="C428" s="40"/>
      <c r="D428" s="40"/>
    </row>
    <row r="429">
      <c r="B429" s="40"/>
      <c r="C429" s="40"/>
      <c r="D429" s="40"/>
    </row>
    <row r="430">
      <c r="B430" s="40"/>
      <c r="C430" s="40"/>
      <c r="D430" s="40"/>
    </row>
    <row r="431">
      <c r="B431" s="40"/>
      <c r="C431" s="40"/>
      <c r="D431" s="40"/>
    </row>
    <row r="432">
      <c r="B432" s="40"/>
      <c r="C432" s="40"/>
      <c r="D432" s="40"/>
    </row>
    <row r="433">
      <c r="B433" s="40"/>
      <c r="C433" s="40"/>
      <c r="D433" s="40"/>
    </row>
    <row r="434">
      <c r="B434" s="40"/>
      <c r="C434" s="40"/>
      <c r="D434" s="40"/>
    </row>
    <row r="435">
      <c r="B435" s="40"/>
      <c r="C435" s="40"/>
      <c r="D435" s="40"/>
    </row>
    <row r="436">
      <c r="B436" s="40"/>
      <c r="C436" s="40"/>
      <c r="D436" s="40"/>
    </row>
    <row r="437">
      <c r="B437" s="40"/>
      <c r="C437" s="40"/>
      <c r="D437" s="40"/>
    </row>
    <row r="438">
      <c r="B438" s="40"/>
      <c r="C438" s="40"/>
      <c r="D438" s="40"/>
    </row>
    <row r="439">
      <c r="B439" s="40"/>
      <c r="C439" s="40"/>
      <c r="D439" s="40"/>
    </row>
    <row r="440">
      <c r="B440" s="40"/>
      <c r="C440" s="40"/>
      <c r="D440" s="40"/>
    </row>
    <row r="441">
      <c r="B441" s="40"/>
      <c r="C441" s="40"/>
      <c r="D441" s="40"/>
    </row>
    <row r="442">
      <c r="B442" s="40"/>
      <c r="C442" s="40"/>
      <c r="D442" s="40"/>
    </row>
    <row r="443">
      <c r="B443" s="40"/>
      <c r="C443" s="40"/>
      <c r="D443" s="40"/>
    </row>
    <row r="444">
      <c r="B444" s="40"/>
      <c r="C444" s="40"/>
      <c r="D444" s="40"/>
    </row>
    <row r="445">
      <c r="B445" s="40"/>
      <c r="C445" s="40"/>
      <c r="D445" s="40"/>
    </row>
    <row r="446">
      <c r="B446" s="40"/>
      <c r="C446" s="40"/>
      <c r="D446" s="40"/>
    </row>
    <row r="447">
      <c r="B447" s="40"/>
      <c r="C447" s="40"/>
      <c r="D447" s="40"/>
    </row>
    <row r="448">
      <c r="B448" s="40"/>
      <c r="C448" s="40"/>
      <c r="D448" s="40"/>
    </row>
    <row r="449">
      <c r="B449" s="40"/>
      <c r="C449" s="40"/>
      <c r="D449" s="40"/>
    </row>
    <row r="450">
      <c r="B450" s="40"/>
      <c r="C450" s="40"/>
      <c r="D450" s="40"/>
    </row>
    <row r="451">
      <c r="B451" s="40"/>
      <c r="C451" s="40"/>
      <c r="D451" s="40"/>
    </row>
    <row r="452">
      <c r="B452" s="40"/>
      <c r="C452" s="40"/>
      <c r="D452" s="40"/>
    </row>
    <row r="453">
      <c r="B453" s="40"/>
      <c r="C453" s="40"/>
      <c r="D453" s="40"/>
    </row>
    <row r="454">
      <c r="B454" s="40"/>
      <c r="C454" s="40"/>
      <c r="D454" s="40"/>
    </row>
    <row r="455">
      <c r="B455" s="40"/>
      <c r="C455" s="40"/>
      <c r="D455" s="40"/>
    </row>
    <row r="456">
      <c r="B456" s="40"/>
      <c r="C456" s="40"/>
      <c r="D456" s="40"/>
    </row>
    <row r="457">
      <c r="B457" s="40"/>
      <c r="C457" s="40"/>
      <c r="D457" s="40"/>
    </row>
    <row r="458">
      <c r="B458" s="40"/>
      <c r="C458" s="40"/>
      <c r="D458" s="40"/>
    </row>
    <row r="459">
      <c r="B459" s="40"/>
      <c r="C459" s="40"/>
      <c r="D459" s="40"/>
    </row>
    <row r="460">
      <c r="B460" s="40"/>
      <c r="C460" s="40"/>
      <c r="D460" s="40"/>
    </row>
    <row r="461">
      <c r="B461" s="40"/>
      <c r="C461" s="40"/>
      <c r="D461" s="40"/>
    </row>
    <row r="462">
      <c r="B462" s="40"/>
      <c r="C462" s="40"/>
      <c r="D462" s="40"/>
    </row>
    <row r="463">
      <c r="B463" s="40"/>
      <c r="C463" s="40"/>
      <c r="D463" s="40"/>
    </row>
    <row r="464">
      <c r="B464" s="40"/>
      <c r="C464" s="40"/>
      <c r="D464" s="40"/>
    </row>
    <row r="465">
      <c r="B465" s="40"/>
      <c r="C465" s="40"/>
      <c r="D465" s="40"/>
    </row>
    <row r="466">
      <c r="B466" s="40"/>
      <c r="C466" s="40"/>
      <c r="D466" s="40"/>
    </row>
    <row r="467">
      <c r="B467" s="40"/>
      <c r="C467" s="40"/>
      <c r="D467" s="40"/>
    </row>
    <row r="468">
      <c r="B468" s="40"/>
      <c r="C468" s="40"/>
      <c r="D468" s="40"/>
    </row>
    <row r="469">
      <c r="B469" s="40"/>
      <c r="C469" s="40"/>
      <c r="D469" s="40"/>
    </row>
    <row r="470">
      <c r="B470" s="40"/>
      <c r="C470" s="40"/>
      <c r="D470" s="40"/>
    </row>
    <row r="471">
      <c r="B471" s="40"/>
      <c r="C471" s="40"/>
      <c r="D471" s="40"/>
    </row>
    <row r="472">
      <c r="B472" s="40"/>
      <c r="C472" s="40"/>
      <c r="D472" s="40"/>
    </row>
    <row r="473">
      <c r="B473" s="40"/>
      <c r="C473" s="40"/>
      <c r="D473" s="40"/>
    </row>
    <row r="474">
      <c r="B474" s="40"/>
      <c r="C474" s="40"/>
      <c r="D474" s="40"/>
    </row>
    <row r="475">
      <c r="B475" s="40"/>
      <c r="C475" s="40"/>
      <c r="D475" s="40"/>
    </row>
    <row r="476">
      <c r="B476" s="40"/>
      <c r="C476" s="40"/>
      <c r="D476" s="40"/>
    </row>
    <row r="477">
      <c r="B477" s="40"/>
      <c r="C477" s="40"/>
      <c r="D477" s="40"/>
    </row>
    <row r="478">
      <c r="B478" s="40"/>
      <c r="C478" s="40"/>
      <c r="D478" s="40"/>
    </row>
    <row r="479">
      <c r="B479" s="40"/>
      <c r="C479" s="40"/>
      <c r="D479" s="40"/>
    </row>
    <row r="480">
      <c r="B480" s="40"/>
      <c r="C480" s="40"/>
      <c r="D480" s="40"/>
    </row>
    <row r="481">
      <c r="B481" s="40"/>
      <c r="C481" s="40"/>
      <c r="D481" s="40"/>
    </row>
    <row r="482">
      <c r="B482" s="40"/>
      <c r="C482" s="40"/>
      <c r="D482" s="40"/>
    </row>
    <row r="483">
      <c r="B483" s="40"/>
      <c r="C483" s="40"/>
      <c r="D483" s="40"/>
    </row>
    <row r="484">
      <c r="B484" s="40"/>
      <c r="C484" s="40"/>
      <c r="D484" s="40"/>
    </row>
    <row r="485">
      <c r="B485" s="40"/>
      <c r="C485" s="40"/>
      <c r="D485" s="40"/>
    </row>
    <row r="486">
      <c r="B486" s="40"/>
      <c r="C486" s="40"/>
      <c r="D486" s="40"/>
    </row>
    <row r="487">
      <c r="B487" s="40"/>
      <c r="C487" s="40"/>
      <c r="D487" s="40"/>
    </row>
    <row r="488">
      <c r="B488" s="40"/>
      <c r="C488" s="40"/>
      <c r="D488" s="40"/>
    </row>
    <row r="489">
      <c r="B489" s="40"/>
      <c r="C489" s="40"/>
      <c r="D489" s="40"/>
    </row>
    <row r="490">
      <c r="B490" s="40"/>
      <c r="C490" s="40"/>
      <c r="D490" s="40"/>
    </row>
    <row r="491">
      <c r="B491" s="40"/>
      <c r="C491" s="40"/>
      <c r="D491" s="40"/>
    </row>
    <row r="492">
      <c r="B492" s="40"/>
      <c r="C492" s="40"/>
      <c r="D492" s="40"/>
    </row>
    <row r="493">
      <c r="B493" s="40"/>
      <c r="C493" s="40"/>
      <c r="D493" s="40"/>
    </row>
    <row r="494">
      <c r="B494" s="40"/>
      <c r="C494" s="40"/>
      <c r="D494" s="40"/>
    </row>
    <row r="495">
      <c r="B495" s="40"/>
      <c r="C495" s="40"/>
      <c r="D495" s="40"/>
    </row>
    <row r="496">
      <c r="B496" s="40"/>
      <c r="C496" s="40"/>
      <c r="D496" s="40"/>
    </row>
    <row r="497">
      <c r="B497" s="40"/>
      <c r="C497" s="40"/>
      <c r="D497" s="40"/>
    </row>
    <row r="498">
      <c r="B498" s="40"/>
      <c r="C498" s="40"/>
      <c r="D498" s="40"/>
    </row>
    <row r="499">
      <c r="B499" s="40"/>
      <c r="C499" s="40"/>
      <c r="D499" s="40"/>
    </row>
    <row r="500">
      <c r="B500" s="40"/>
      <c r="C500" s="40"/>
      <c r="D500" s="40"/>
    </row>
    <row r="501">
      <c r="B501" s="40"/>
      <c r="C501" s="40"/>
      <c r="D501" s="40"/>
    </row>
    <row r="502">
      <c r="B502" s="40"/>
      <c r="C502" s="40"/>
      <c r="D502" s="40"/>
    </row>
    <row r="503">
      <c r="B503" s="40"/>
      <c r="C503" s="40"/>
      <c r="D503" s="40"/>
    </row>
    <row r="504">
      <c r="B504" s="40"/>
      <c r="C504" s="40"/>
      <c r="D504" s="40"/>
    </row>
    <row r="505">
      <c r="B505" s="40"/>
      <c r="C505" s="40"/>
      <c r="D505" s="40"/>
    </row>
    <row r="506">
      <c r="B506" s="40"/>
      <c r="C506" s="40"/>
      <c r="D506" s="40"/>
    </row>
    <row r="507">
      <c r="B507" s="40"/>
      <c r="C507" s="40"/>
      <c r="D507" s="40"/>
    </row>
    <row r="508">
      <c r="B508" s="40"/>
      <c r="C508" s="40"/>
      <c r="D508" s="40"/>
    </row>
    <row r="509">
      <c r="B509" s="40"/>
      <c r="C509" s="40"/>
      <c r="D509" s="40"/>
    </row>
    <row r="510">
      <c r="B510" s="40"/>
      <c r="C510" s="40"/>
      <c r="D510" s="40"/>
    </row>
    <row r="511">
      <c r="B511" s="40"/>
      <c r="C511" s="40"/>
      <c r="D511" s="40"/>
    </row>
    <row r="512">
      <c r="B512" s="40"/>
      <c r="C512" s="40"/>
      <c r="D512" s="40"/>
    </row>
    <row r="513">
      <c r="B513" s="40"/>
      <c r="C513" s="40"/>
      <c r="D513" s="40"/>
    </row>
    <row r="514">
      <c r="B514" s="40"/>
      <c r="C514" s="40"/>
      <c r="D514" s="40"/>
    </row>
    <row r="515">
      <c r="B515" s="40"/>
      <c r="C515" s="40"/>
      <c r="D515" s="40"/>
    </row>
    <row r="516">
      <c r="B516" s="40"/>
      <c r="C516" s="40"/>
      <c r="D516" s="40"/>
    </row>
    <row r="517">
      <c r="B517" s="40"/>
      <c r="C517" s="40"/>
      <c r="D517" s="40"/>
    </row>
    <row r="518">
      <c r="B518" s="40"/>
      <c r="C518" s="40"/>
      <c r="D518" s="40"/>
    </row>
    <row r="519">
      <c r="B519" s="40"/>
      <c r="C519" s="40"/>
      <c r="D519" s="40"/>
    </row>
    <row r="520">
      <c r="B520" s="40"/>
      <c r="C520" s="40"/>
      <c r="D520" s="40"/>
    </row>
    <row r="521">
      <c r="B521" s="40"/>
      <c r="C521" s="40"/>
      <c r="D521" s="40"/>
    </row>
    <row r="522">
      <c r="B522" s="40"/>
      <c r="C522" s="40"/>
      <c r="D522" s="40"/>
    </row>
    <row r="523">
      <c r="B523" s="40"/>
      <c r="C523" s="40"/>
      <c r="D523" s="40"/>
    </row>
    <row r="524">
      <c r="B524" s="40"/>
      <c r="C524" s="40"/>
      <c r="D524" s="40"/>
    </row>
    <row r="525">
      <c r="B525" s="40"/>
      <c r="C525" s="40"/>
      <c r="D525" s="40"/>
    </row>
    <row r="526">
      <c r="B526" s="40"/>
      <c r="C526" s="40"/>
      <c r="D526" s="40"/>
    </row>
    <row r="527">
      <c r="B527" s="40"/>
      <c r="C527" s="40"/>
      <c r="D527" s="40"/>
    </row>
    <row r="528">
      <c r="B528" s="40"/>
      <c r="C528" s="40"/>
      <c r="D528" s="40"/>
    </row>
    <row r="529">
      <c r="B529" s="40"/>
      <c r="C529" s="40"/>
      <c r="D529" s="40"/>
    </row>
    <row r="530">
      <c r="B530" s="40"/>
      <c r="C530" s="40"/>
      <c r="D530" s="40"/>
    </row>
    <row r="531">
      <c r="B531" s="40"/>
      <c r="C531" s="40"/>
      <c r="D531" s="40"/>
    </row>
    <row r="532">
      <c r="B532" s="40"/>
      <c r="C532" s="40"/>
      <c r="D532" s="40"/>
    </row>
    <row r="533">
      <c r="B533" s="40"/>
      <c r="C533" s="40"/>
      <c r="D533" s="40"/>
    </row>
    <row r="534">
      <c r="B534" s="40"/>
      <c r="C534" s="40"/>
      <c r="D534" s="40"/>
    </row>
    <row r="535">
      <c r="B535" s="40"/>
      <c r="C535" s="40"/>
      <c r="D535" s="40"/>
    </row>
    <row r="536">
      <c r="B536" s="40"/>
      <c r="C536" s="40"/>
      <c r="D536" s="40"/>
    </row>
    <row r="537">
      <c r="B537" s="40"/>
      <c r="C537" s="40"/>
      <c r="D537" s="40"/>
    </row>
    <row r="538">
      <c r="B538" s="40"/>
      <c r="C538" s="40"/>
      <c r="D538" s="40"/>
    </row>
    <row r="539">
      <c r="B539" s="40"/>
      <c r="C539" s="40"/>
      <c r="D539" s="40"/>
    </row>
    <row r="540">
      <c r="B540" s="40"/>
      <c r="C540" s="40"/>
      <c r="D540" s="40"/>
    </row>
    <row r="541">
      <c r="B541" s="40"/>
      <c r="C541" s="40"/>
      <c r="D541" s="40"/>
    </row>
    <row r="542">
      <c r="B542" s="40"/>
      <c r="C542" s="40"/>
      <c r="D542" s="40"/>
    </row>
    <row r="543">
      <c r="B543" s="40"/>
      <c r="C543" s="40"/>
      <c r="D543" s="40"/>
    </row>
    <row r="544">
      <c r="B544" s="40"/>
      <c r="C544" s="40"/>
      <c r="D544" s="40"/>
    </row>
    <row r="545">
      <c r="B545" s="40"/>
      <c r="C545" s="40"/>
      <c r="D545" s="40"/>
    </row>
    <row r="546">
      <c r="B546" s="40"/>
      <c r="C546" s="40"/>
      <c r="D546" s="40"/>
    </row>
    <row r="547">
      <c r="B547" s="40"/>
      <c r="C547" s="40"/>
      <c r="D547" s="40"/>
    </row>
    <row r="548">
      <c r="B548" s="40"/>
      <c r="C548" s="40"/>
      <c r="D548" s="40"/>
    </row>
    <row r="549">
      <c r="B549" s="40"/>
      <c r="C549" s="40"/>
      <c r="D549" s="40"/>
    </row>
    <row r="550">
      <c r="B550" s="40"/>
      <c r="C550" s="40"/>
      <c r="D550" s="40"/>
    </row>
    <row r="551">
      <c r="B551" s="40"/>
      <c r="C551" s="40"/>
      <c r="D551" s="40"/>
    </row>
    <row r="552">
      <c r="B552" s="40"/>
      <c r="C552" s="40"/>
      <c r="D552" s="40"/>
    </row>
    <row r="553">
      <c r="B553" s="40"/>
      <c r="C553" s="40"/>
      <c r="D553" s="40"/>
    </row>
    <row r="554">
      <c r="B554" s="40"/>
      <c r="C554" s="40"/>
      <c r="D554" s="40"/>
    </row>
    <row r="555">
      <c r="B555" s="40"/>
      <c r="C555" s="40"/>
      <c r="D555" s="40"/>
    </row>
    <row r="556">
      <c r="B556" s="40"/>
      <c r="C556" s="40"/>
      <c r="D556" s="40"/>
    </row>
    <row r="557">
      <c r="B557" s="40"/>
      <c r="C557" s="40"/>
      <c r="D557" s="40"/>
    </row>
    <row r="558">
      <c r="B558" s="40"/>
      <c r="C558" s="40"/>
      <c r="D558" s="40"/>
    </row>
    <row r="559">
      <c r="B559" s="40"/>
      <c r="C559" s="40"/>
      <c r="D559" s="40"/>
    </row>
    <row r="560">
      <c r="B560" s="40"/>
      <c r="C560" s="40"/>
      <c r="D560" s="40"/>
    </row>
    <row r="561">
      <c r="B561" s="40"/>
      <c r="C561" s="40"/>
      <c r="D561" s="40"/>
    </row>
    <row r="562">
      <c r="B562" s="40"/>
      <c r="C562" s="40"/>
      <c r="D562" s="40"/>
    </row>
    <row r="563">
      <c r="B563" s="40"/>
      <c r="C563" s="40"/>
      <c r="D563" s="40"/>
    </row>
    <row r="564">
      <c r="B564" s="40"/>
      <c r="C564" s="40"/>
      <c r="D564" s="40"/>
    </row>
    <row r="565">
      <c r="B565" s="40"/>
      <c r="C565" s="40"/>
      <c r="D565" s="40"/>
    </row>
    <row r="566">
      <c r="B566" s="40"/>
      <c r="C566" s="40"/>
      <c r="D566" s="40"/>
    </row>
    <row r="567">
      <c r="B567" s="40"/>
      <c r="C567" s="40"/>
      <c r="D567" s="40"/>
    </row>
    <row r="568">
      <c r="B568" s="40"/>
      <c r="C568" s="40"/>
      <c r="D568" s="40"/>
    </row>
    <row r="569">
      <c r="B569" s="40"/>
      <c r="C569" s="40"/>
      <c r="D569" s="40"/>
    </row>
    <row r="570">
      <c r="B570" s="40"/>
      <c r="C570" s="40"/>
      <c r="D570" s="40"/>
    </row>
    <row r="571">
      <c r="B571" s="40"/>
      <c r="C571" s="40"/>
      <c r="D571" s="40"/>
    </row>
    <row r="572">
      <c r="B572" s="40"/>
      <c r="C572" s="40"/>
      <c r="D572" s="40"/>
    </row>
    <row r="573">
      <c r="B573" s="40"/>
      <c r="C573" s="40"/>
      <c r="D573" s="40"/>
    </row>
    <row r="574">
      <c r="B574" s="40"/>
      <c r="C574" s="40"/>
      <c r="D574" s="40"/>
    </row>
    <row r="575">
      <c r="B575" s="40"/>
      <c r="C575" s="40"/>
      <c r="D575" s="40"/>
    </row>
    <row r="576">
      <c r="B576" s="40"/>
      <c r="C576" s="40"/>
      <c r="D576" s="40"/>
    </row>
    <row r="577">
      <c r="B577" s="40"/>
      <c r="C577" s="40"/>
      <c r="D577" s="40"/>
    </row>
    <row r="578">
      <c r="B578" s="40"/>
      <c r="C578" s="40"/>
      <c r="D578" s="40"/>
    </row>
    <row r="579">
      <c r="B579" s="40"/>
      <c r="C579" s="40"/>
      <c r="D579" s="40"/>
    </row>
    <row r="580">
      <c r="B580" s="40"/>
      <c r="C580" s="40"/>
      <c r="D580" s="40"/>
    </row>
    <row r="581">
      <c r="B581" s="40"/>
      <c r="C581" s="40"/>
      <c r="D581" s="40"/>
    </row>
    <row r="582">
      <c r="B582" s="40"/>
      <c r="C582" s="40"/>
      <c r="D582" s="40"/>
    </row>
    <row r="583">
      <c r="B583" s="40"/>
      <c r="C583" s="40"/>
      <c r="D583" s="40"/>
    </row>
    <row r="584">
      <c r="B584" s="40"/>
      <c r="C584" s="40"/>
      <c r="D584" s="40"/>
    </row>
    <row r="585">
      <c r="B585" s="40"/>
      <c r="C585" s="40"/>
      <c r="D585" s="40"/>
    </row>
    <row r="586">
      <c r="B586" s="40"/>
      <c r="C586" s="40"/>
      <c r="D586" s="40"/>
    </row>
    <row r="587">
      <c r="B587" s="40"/>
      <c r="C587" s="40"/>
      <c r="D587" s="40"/>
    </row>
    <row r="588">
      <c r="B588" s="40"/>
      <c r="C588" s="40"/>
      <c r="D588" s="40"/>
    </row>
    <row r="589">
      <c r="B589" s="40"/>
      <c r="C589" s="40"/>
      <c r="D589" s="40"/>
    </row>
    <row r="590">
      <c r="B590" s="40"/>
      <c r="C590" s="40"/>
      <c r="D590" s="40"/>
    </row>
    <row r="591">
      <c r="B591" s="40"/>
      <c r="C591" s="40"/>
      <c r="D591" s="40"/>
    </row>
    <row r="592">
      <c r="B592" s="40"/>
      <c r="C592" s="40"/>
      <c r="D592" s="40"/>
    </row>
    <row r="593">
      <c r="B593" s="40"/>
      <c r="C593" s="40"/>
      <c r="D593" s="40"/>
    </row>
    <row r="594">
      <c r="B594" s="40"/>
      <c r="C594" s="40"/>
      <c r="D594" s="40"/>
    </row>
    <row r="595">
      <c r="B595" s="40"/>
      <c r="C595" s="40"/>
      <c r="D595" s="40"/>
    </row>
    <row r="596">
      <c r="B596" s="40"/>
      <c r="C596" s="40"/>
      <c r="D596" s="40"/>
    </row>
    <row r="597">
      <c r="B597" s="40"/>
      <c r="C597" s="40"/>
      <c r="D597" s="40"/>
    </row>
    <row r="598">
      <c r="B598" s="40"/>
      <c r="C598" s="40"/>
      <c r="D598" s="40"/>
    </row>
    <row r="599">
      <c r="B599" s="40"/>
      <c r="C599" s="40"/>
      <c r="D599" s="40"/>
    </row>
    <row r="600">
      <c r="B600" s="40"/>
      <c r="C600" s="40"/>
      <c r="D600" s="40"/>
    </row>
    <row r="601">
      <c r="B601" s="40"/>
      <c r="C601" s="40"/>
      <c r="D601" s="40"/>
    </row>
    <row r="602">
      <c r="B602" s="40"/>
      <c r="C602" s="40"/>
      <c r="D602" s="40"/>
    </row>
    <row r="603">
      <c r="B603" s="40"/>
      <c r="C603" s="40"/>
      <c r="D603" s="40"/>
    </row>
    <row r="604">
      <c r="B604" s="40"/>
      <c r="C604" s="40"/>
      <c r="D604" s="40"/>
    </row>
    <row r="605">
      <c r="B605" s="40"/>
      <c r="C605" s="40"/>
      <c r="D605" s="40"/>
    </row>
    <row r="606">
      <c r="B606" s="40"/>
      <c r="C606" s="40"/>
      <c r="D606" s="40"/>
    </row>
    <row r="607">
      <c r="B607" s="40"/>
      <c r="C607" s="40"/>
      <c r="D607" s="40"/>
    </row>
    <row r="608">
      <c r="B608" s="40"/>
      <c r="C608" s="40"/>
      <c r="D608" s="40"/>
    </row>
    <row r="609">
      <c r="B609" s="40"/>
      <c r="C609" s="40"/>
      <c r="D609" s="40"/>
    </row>
    <row r="610">
      <c r="B610" s="40"/>
      <c r="C610" s="40"/>
      <c r="D610" s="40"/>
    </row>
    <row r="611">
      <c r="B611" s="40"/>
      <c r="C611" s="40"/>
      <c r="D611" s="40"/>
    </row>
    <row r="612">
      <c r="B612" s="40"/>
      <c r="C612" s="40"/>
      <c r="D612" s="40"/>
    </row>
    <row r="613">
      <c r="B613" s="40"/>
      <c r="C613" s="40"/>
      <c r="D613" s="40"/>
    </row>
    <row r="614">
      <c r="B614" s="40"/>
      <c r="C614" s="40"/>
      <c r="D614" s="40"/>
    </row>
    <row r="615">
      <c r="B615" s="40"/>
      <c r="C615" s="40"/>
      <c r="D615" s="40"/>
    </row>
    <row r="616">
      <c r="B616" s="40"/>
      <c r="C616" s="40"/>
      <c r="D616" s="40"/>
    </row>
    <row r="617">
      <c r="B617" s="40"/>
      <c r="C617" s="40"/>
      <c r="D617" s="40"/>
    </row>
    <row r="618">
      <c r="B618" s="40"/>
      <c r="C618" s="40"/>
      <c r="D618" s="40"/>
    </row>
    <row r="619">
      <c r="B619" s="40"/>
      <c r="C619" s="40"/>
      <c r="D619" s="40"/>
    </row>
    <row r="620">
      <c r="B620" s="40"/>
      <c r="C620" s="40"/>
      <c r="D620" s="40"/>
    </row>
    <row r="621">
      <c r="B621" s="40"/>
      <c r="C621" s="40"/>
      <c r="D621" s="40"/>
    </row>
    <row r="622">
      <c r="B622" s="40"/>
      <c r="C622" s="40"/>
      <c r="D622" s="40"/>
    </row>
    <row r="623">
      <c r="B623" s="40"/>
      <c r="C623" s="40"/>
      <c r="D623" s="40"/>
    </row>
    <row r="624">
      <c r="B624" s="40"/>
      <c r="C624" s="40"/>
      <c r="D624" s="40"/>
    </row>
    <row r="625">
      <c r="B625" s="40"/>
      <c r="C625" s="40"/>
      <c r="D625" s="40"/>
    </row>
    <row r="626">
      <c r="B626" s="40"/>
      <c r="C626" s="40"/>
      <c r="D626" s="40"/>
    </row>
    <row r="627">
      <c r="B627" s="40"/>
      <c r="C627" s="40"/>
      <c r="D627" s="40"/>
    </row>
    <row r="628">
      <c r="B628" s="40"/>
      <c r="C628" s="40"/>
      <c r="D628" s="40"/>
    </row>
    <row r="629">
      <c r="B629" s="40"/>
      <c r="C629" s="40"/>
      <c r="D629" s="40"/>
    </row>
    <row r="630">
      <c r="B630" s="40"/>
      <c r="C630" s="40"/>
      <c r="D630" s="40"/>
    </row>
    <row r="631">
      <c r="B631" s="40"/>
      <c r="C631" s="40"/>
      <c r="D631" s="40"/>
    </row>
    <row r="632">
      <c r="B632" s="40"/>
      <c r="C632" s="40"/>
      <c r="D632" s="40"/>
    </row>
    <row r="633">
      <c r="B633" s="40"/>
      <c r="C633" s="40"/>
      <c r="D633" s="40"/>
    </row>
    <row r="634">
      <c r="B634" s="40"/>
      <c r="C634" s="40"/>
      <c r="D634" s="40"/>
    </row>
    <row r="635">
      <c r="B635" s="40"/>
      <c r="C635" s="40"/>
      <c r="D635" s="40"/>
    </row>
    <row r="636">
      <c r="B636" s="40"/>
      <c r="C636" s="40"/>
      <c r="D636" s="40"/>
    </row>
    <row r="637">
      <c r="B637" s="40"/>
      <c r="C637" s="40"/>
      <c r="D637" s="40"/>
    </row>
    <row r="638">
      <c r="B638" s="40"/>
      <c r="C638" s="40"/>
      <c r="D638" s="40"/>
    </row>
    <row r="639">
      <c r="B639" s="40"/>
      <c r="C639" s="40"/>
      <c r="D639" s="40"/>
    </row>
    <row r="640">
      <c r="B640" s="40"/>
      <c r="C640" s="40"/>
      <c r="D640" s="40"/>
    </row>
    <row r="641">
      <c r="B641" s="40"/>
      <c r="C641" s="40"/>
      <c r="D641" s="40"/>
    </row>
    <row r="642">
      <c r="B642" s="40"/>
      <c r="C642" s="40"/>
      <c r="D642" s="40"/>
    </row>
    <row r="643">
      <c r="B643" s="40"/>
      <c r="C643" s="40"/>
      <c r="D643" s="40"/>
    </row>
    <row r="644">
      <c r="B644" s="40"/>
      <c r="C644" s="40"/>
      <c r="D644" s="40"/>
    </row>
    <row r="645">
      <c r="B645" s="40"/>
      <c r="C645" s="40"/>
      <c r="D645" s="40"/>
    </row>
    <row r="646">
      <c r="B646" s="40"/>
      <c r="C646" s="40"/>
      <c r="D646" s="40"/>
    </row>
    <row r="647">
      <c r="B647" s="40"/>
      <c r="C647" s="40"/>
      <c r="D647" s="40"/>
    </row>
    <row r="648">
      <c r="B648" s="40"/>
      <c r="C648" s="40"/>
      <c r="D648" s="40"/>
    </row>
    <row r="649">
      <c r="B649" s="40"/>
      <c r="C649" s="40"/>
      <c r="D649" s="40"/>
    </row>
    <row r="650">
      <c r="B650" s="40"/>
      <c r="C650" s="40"/>
      <c r="D650" s="40"/>
    </row>
    <row r="651">
      <c r="B651" s="40"/>
      <c r="C651" s="40"/>
      <c r="D651" s="40"/>
    </row>
    <row r="652">
      <c r="B652" s="40"/>
      <c r="C652" s="40"/>
      <c r="D652" s="40"/>
    </row>
    <row r="653">
      <c r="B653" s="40"/>
      <c r="C653" s="40"/>
      <c r="D653" s="40"/>
    </row>
    <row r="654">
      <c r="B654" s="40"/>
      <c r="C654" s="40"/>
      <c r="D654" s="40"/>
    </row>
    <row r="655">
      <c r="B655" s="40"/>
      <c r="C655" s="40"/>
      <c r="D655" s="40"/>
    </row>
    <row r="656">
      <c r="B656" s="40"/>
      <c r="C656" s="40"/>
      <c r="D656" s="40"/>
    </row>
    <row r="657">
      <c r="B657" s="40"/>
      <c r="C657" s="40"/>
      <c r="D657" s="40"/>
    </row>
    <row r="658">
      <c r="B658" s="40"/>
      <c r="C658" s="40"/>
      <c r="D658" s="40"/>
    </row>
    <row r="659">
      <c r="B659" s="40"/>
      <c r="C659" s="40"/>
      <c r="D659" s="40"/>
    </row>
    <row r="660">
      <c r="B660" s="40"/>
      <c r="C660" s="40"/>
      <c r="D660" s="40"/>
    </row>
    <row r="661">
      <c r="B661" s="40"/>
      <c r="C661" s="40"/>
      <c r="D661" s="40"/>
    </row>
    <row r="662">
      <c r="B662" s="40"/>
      <c r="C662" s="40"/>
      <c r="D662" s="40"/>
    </row>
    <row r="663">
      <c r="B663" s="40"/>
      <c r="C663" s="40"/>
      <c r="D663" s="40"/>
    </row>
    <row r="664">
      <c r="B664" s="40"/>
      <c r="C664" s="40"/>
      <c r="D664" s="40"/>
    </row>
    <row r="665">
      <c r="B665" s="40"/>
      <c r="C665" s="40"/>
      <c r="D665" s="40"/>
    </row>
    <row r="666">
      <c r="B666" s="40"/>
      <c r="C666" s="40"/>
      <c r="D666" s="40"/>
    </row>
    <row r="667">
      <c r="B667" s="40"/>
      <c r="C667" s="40"/>
      <c r="D667" s="40"/>
    </row>
    <row r="668">
      <c r="B668" s="40"/>
      <c r="C668" s="40"/>
      <c r="D668" s="40"/>
    </row>
    <row r="669">
      <c r="B669" s="40"/>
      <c r="C669" s="40"/>
      <c r="D669" s="40"/>
    </row>
    <row r="670">
      <c r="B670" s="40"/>
      <c r="C670" s="40"/>
      <c r="D670" s="40"/>
    </row>
    <row r="671">
      <c r="B671" s="40"/>
      <c r="C671" s="40"/>
      <c r="D671" s="40"/>
    </row>
    <row r="672">
      <c r="B672" s="40"/>
      <c r="C672" s="40"/>
      <c r="D672" s="40"/>
    </row>
    <row r="673">
      <c r="B673" s="40"/>
      <c r="C673" s="40"/>
      <c r="D673" s="40"/>
    </row>
    <row r="674">
      <c r="B674" s="40"/>
      <c r="C674" s="40"/>
      <c r="D674" s="40"/>
    </row>
    <row r="675">
      <c r="B675" s="40"/>
      <c r="C675" s="40"/>
      <c r="D675" s="40"/>
    </row>
    <row r="676">
      <c r="B676" s="40"/>
      <c r="C676" s="40"/>
      <c r="D676" s="40"/>
    </row>
    <row r="677">
      <c r="B677" s="40"/>
      <c r="C677" s="40"/>
      <c r="D677" s="40"/>
    </row>
    <row r="678">
      <c r="B678" s="40"/>
      <c r="C678" s="40"/>
      <c r="D678" s="40"/>
    </row>
    <row r="679">
      <c r="B679" s="40"/>
      <c r="C679" s="40"/>
      <c r="D679" s="40"/>
    </row>
    <row r="680">
      <c r="B680" s="40"/>
      <c r="C680" s="40"/>
      <c r="D680" s="40"/>
    </row>
    <row r="681">
      <c r="B681" s="40"/>
      <c r="C681" s="40"/>
      <c r="D681" s="40"/>
    </row>
    <row r="682">
      <c r="B682" s="40"/>
      <c r="C682" s="40"/>
      <c r="D682" s="40"/>
    </row>
    <row r="683">
      <c r="B683" s="40"/>
      <c r="C683" s="40"/>
      <c r="D683" s="40"/>
    </row>
    <row r="684">
      <c r="B684" s="40"/>
      <c r="C684" s="40"/>
      <c r="D684" s="40"/>
    </row>
    <row r="685">
      <c r="B685" s="40"/>
      <c r="C685" s="40"/>
      <c r="D685" s="40"/>
    </row>
    <row r="686">
      <c r="B686" s="40"/>
      <c r="C686" s="40"/>
      <c r="D686" s="40"/>
    </row>
    <row r="687">
      <c r="B687" s="40"/>
      <c r="C687" s="40"/>
      <c r="D687" s="40"/>
    </row>
    <row r="688">
      <c r="B688" s="40"/>
      <c r="C688" s="40"/>
      <c r="D688" s="40"/>
    </row>
    <row r="689">
      <c r="B689" s="40"/>
      <c r="C689" s="40"/>
      <c r="D689" s="40"/>
    </row>
    <row r="690">
      <c r="B690" s="40"/>
      <c r="C690" s="40"/>
      <c r="D690" s="40"/>
    </row>
    <row r="691">
      <c r="B691" s="40"/>
      <c r="C691" s="40"/>
      <c r="D691" s="40"/>
    </row>
    <row r="692">
      <c r="B692" s="40"/>
      <c r="C692" s="40"/>
      <c r="D692" s="40"/>
    </row>
    <row r="693">
      <c r="B693" s="40"/>
      <c r="C693" s="40"/>
      <c r="D693" s="40"/>
    </row>
    <row r="694">
      <c r="B694" s="40"/>
      <c r="C694" s="40"/>
      <c r="D694" s="40"/>
    </row>
    <row r="695">
      <c r="B695" s="40"/>
      <c r="C695" s="40"/>
      <c r="D695" s="40"/>
    </row>
    <row r="696">
      <c r="B696" s="40"/>
      <c r="C696" s="40"/>
      <c r="D696" s="40"/>
    </row>
    <row r="697">
      <c r="B697" s="40"/>
      <c r="C697" s="40"/>
      <c r="D697" s="40"/>
    </row>
    <row r="698">
      <c r="B698" s="40"/>
      <c r="C698" s="40"/>
      <c r="D698" s="40"/>
    </row>
    <row r="699">
      <c r="B699" s="40"/>
      <c r="C699" s="40"/>
      <c r="D699" s="40"/>
    </row>
    <row r="700">
      <c r="B700" s="40"/>
      <c r="C700" s="40"/>
      <c r="D700" s="40"/>
    </row>
    <row r="701">
      <c r="B701" s="40"/>
      <c r="C701" s="40"/>
      <c r="D701" s="40"/>
    </row>
    <row r="702">
      <c r="B702" s="40"/>
      <c r="C702" s="40"/>
      <c r="D702" s="40"/>
    </row>
    <row r="703">
      <c r="B703" s="40"/>
      <c r="C703" s="40"/>
      <c r="D703" s="40"/>
    </row>
    <row r="704">
      <c r="B704" s="40"/>
      <c r="C704" s="40"/>
      <c r="D704" s="40"/>
    </row>
    <row r="705">
      <c r="B705" s="40"/>
      <c r="C705" s="40"/>
      <c r="D705" s="40"/>
    </row>
    <row r="706">
      <c r="B706" s="40"/>
      <c r="C706" s="40"/>
      <c r="D706" s="40"/>
    </row>
    <row r="707">
      <c r="B707" s="40"/>
      <c r="C707" s="40"/>
      <c r="D707" s="40"/>
    </row>
    <row r="708">
      <c r="B708" s="40"/>
      <c r="C708" s="40"/>
      <c r="D708" s="40"/>
    </row>
    <row r="709">
      <c r="B709" s="40"/>
      <c r="C709" s="40"/>
      <c r="D709" s="40"/>
    </row>
    <row r="710">
      <c r="B710" s="40"/>
      <c r="C710" s="40"/>
      <c r="D710" s="40"/>
    </row>
    <row r="711">
      <c r="B711" s="40"/>
      <c r="C711" s="40"/>
      <c r="D711" s="40"/>
    </row>
    <row r="712">
      <c r="B712" s="40"/>
      <c r="C712" s="40"/>
      <c r="D712" s="40"/>
    </row>
    <row r="713">
      <c r="B713" s="40"/>
      <c r="C713" s="40"/>
      <c r="D713" s="40"/>
    </row>
    <row r="714">
      <c r="B714" s="40"/>
      <c r="C714" s="40"/>
      <c r="D714" s="40"/>
    </row>
    <row r="715">
      <c r="B715" s="40"/>
      <c r="C715" s="40"/>
      <c r="D715" s="40"/>
    </row>
    <row r="716">
      <c r="B716" s="40"/>
      <c r="C716" s="40"/>
      <c r="D716" s="40"/>
    </row>
    <row r="717">
      <c r="B717" s="40"/>
      <c r="C717" s="40"/>
      <c r="D717" s="40"/>
    </row>
    <row r="718">
      <c r="B718" s="40"/>
      <c r="C718" s="40"/>
      <c r="D718" s="40"/>
    </row>
    <row r="719">
      <c r="B719" s="40"/>
      <c r="C719" s="40"/>
      <c r="D719" s="40"/>
    </row>
    <row r="720">
      <c r="B720" s="40"/>
      <c r="C720" s="40"/>
      <c r="D720" s="40"/>
    </row>
    <row r="721">
      <c r="B721" s="40"/>
      <c r="C721" s="40"/>
      <c r="D721" s="40"/>
    </row>
    <row r="722">
      <c r="B722" s="40"/>
      <c r="C722" s="40"/>
      <c r="D722" s="40"/>
    </row>
    <row r="723">
      <c r="B723" s="40"/>
      <c r="C723" s="40"/>
      <c r="D723" s="40"/>
    </row>
    <row r="724">
      <c r="B724" s="40"/>
      <c r="C724" s="40"/>
      <c r="D724" s="40"/>
    </row>
    <row r="725">
      <c r="B725" s="40"/>
      <c r="C725" s="40"/>
      <c r="D725" s="40"/>
    </row>
    <row r="726">
      <c r="B726" s="40"/>
      <c r="C726" s="40"/>
      <c r="D726" s="40"/>
    </row>
    <row r="727">
      <c r="B727" s="40"/>
      <c r="C727" s="40"/>
      <c r="D727" s="40"/>
    </row>
    <row r="728">
      <c r="B728" s="40"/>
      <c r="C728" s="40"/>
      <c r="D728" s="40"/>
    </row>
    <row r="729">
      <c r="B729" s="40"/>
      <c r="C729" s="40"/>
      <c r="D729" s="40"/>
    </row>
    <row r="730">
      <c r="B730" s="40"/>
      <c r="C730" s="40"/>
      <c r="D730" s="40"/>
    </row>
    <row r="731">
      <c r="B731" s="40"/>
      <c r="C731" s="40"/>
      <c r="D731" s="40"/>
    </row>
    <row r="732">
      <c r="B732" s="40"/>
      <c r="C732" s="40"/>
      <c r="D732" s="40"/>
    </row>
    <row r="733">
      <c r="B733" s="40"/>
      <c r="C733" s="40"/>
      <c r="D733" s="40"/>
    </row>
    <row r="734">
      <c r="B734" s="40"/>
      <c r="C734" s="40"/>
      <c r="D734" s="40"/>
    </row>
    <row r="735">
      <c r="B735" s="40"/>
      <c r="C735" s="40"/>
      <c r="D735" s="40"/>
    </row>
    <row r="736">
      <c r="B736" s="40"/>
      <c r="C736" s="40"/>
      <c r="D736" s="40"/>
    </row>
    <row r="737">
      <c r="B737" s="40"/>
      <c r="C737" s="40"/>
      <c r="D737" s="40"/>
    </row>
    <row r="738">
      <c r="B738" s="40"/>
      <c r="C738" s="40"/>
      <c r="D738" s="40"/>
    </row>
    <row r="739">
      <c r="B739" s="40"/>
      <c r="C739" s="40"/>
      <c r="D739" s="40"/>
    </row>
    <row r="740">
      <c r="B740" s="40"/>
      <c r="C740" s="40"/>
      <c r="D740" s="40"/>
    </row>
    <row r="741">
      <c r="B741" s="40"/>
      <c r="C741" s="40"/>
      <c r="D741" s="40"/>
    </row>
    <row r="742">
      <c r="B742" s="40"/>
      <c r="C742" s="40"/>
      <c r="D742" s="40"/>
    </row>
    <row r="743">
      <c r="B743" s="40"/>
      <c r="C743" s="40"/>
      <c r="D743" s="40"/>
    </row>
    <row r="744">
      <c r="B744" s="40"/>
      <c r="C744" s="40"/>
      <c r="D744" s="40"/>
    </row>
    <row r="745">
      <c r="B745" s="40"/>
      <c r="C745" s="40"/>
      <c r="D745" s="40"/>
    </row>
    <row r="746">
      <c r="B746" s="40"/>
      <c r="C746" s="40"/>
      <c r="D746" s="40"/>
    </row>
    <row r="747">
      <c r="B747" s="40"/>
      <c r="C747" s="40"/>
      <c r="D747" s="40"/>
    </row>
    <row r="748">
      <c r="B748" s="40"/>
      <c r="C748" s="40"/>
      <c r="D748" s="40"/>
    </row>
    <row r="749">
      <c r="B749" s="40"/>
      <c r="C749" s="40"/>
      <c r="D749" s="40"/>
    </row>
    <row r="750">
      <c r="B750" s="40"/>
      <c r="C750" s="40"/>
      <c r="D750" s="40"/>
    </row>
    <row r="751">
      <c r="B751" s="40"/>
      <c r="C751" s="40"/>
      <c r="D751" s="40"/>
    </row>
    <row r="752">
      <c r="B752" s="40"/>
      <c r="C752" s="40"/>
      <c r="D752" s="40"/>
    </row>
    <row r="753">
      <c r="B753" s="40"/>
      <c r="C753" s="40"/>
      <c r="D753" s="40"/>
    </row>
    <row r="754">
      <c r="B754" s="40"/>
      <c r="C754" s="40"/>
      <c r="D754" s="40"/>
    </row>
    <row r="755">
      <c r="B755" s="40"/>
      <c r="C755" s="40"/>
      <c r="D755" s="40"/>
    </row>
    <row r="756">
      <c r="B756" s="40"/>
      <c r="C756" s="40"/>
      <c r="D756" s="40"/>
    </row>
    <row r="757">
      <c r="B757" s="40"/>
      <c r="C757" s="40"/>
      <c r="D757" s="40"/>
    </row>
    <row r="758">
      <c r="B758" s="40"/>
      <c r="C758" s="40"/>
      <c r="D758" s="40"/>
    </row>
    <row r="759">
      <c r="B759" s="40"/>
      <c r="C759" s="40"/>
      <c r="D759" s="40"/>
    </row>
    <row r="760">
      <c r="B760" s="40"/>
      <c r="C760" s="40"/>
      <c r="D760" s="40"/>
    </row>
    <row r="761">
      <c r="B761" s="40"/>
      <c r="C761" s="40"/>
      <c r="D761" s="40"/>
    </row>
    <row r="762">
      <c r="B762" s="40"/>
      <c r="C762" s="40"/>
      <c r="D762" s="40"/>
    </row>
    <row r="763">
      <c r="B763" s="40"/>
      <c r="C763" s="40"/>
      <c r="D763" s="40"/>
    </row>
    <row r="764">
      <c r="B764" s="40"/>
      <c r="C764" s="40"/>
      <c r="D764" s="40"/>
    </row>
    <row r="765">
      <c r="B765" s="40"/>
      <c r="C765" s="40"/>
      <c r="D765" s="40"/>
    </row>
    <row r="766">
      <c r="B766" s="40"/>
      <c r="C766" s="40"/>
      <c r="D766" s="40"/>
    </row>
    <row r="767">
      <c r="B767" s="40"/>
      <c r="C767" s="40"/>
      <c r="D767" s="40"/>
    </row>
    <row r="768">
      <c r="B768" s="40"/>
      <c r="C768" s="40"/>
      <c r="D768" s="40"/>
    </row>
    <row r="769">
      <c r="B769" s="40"/>
      <c r="C769" s="40"/>
      <c r="D769" s="40"/>
    </row>
    <row r="770">
      <c r="B770" s="40"/>
      <c r="C770" s="40"/>
      <c r="D770" s="40"/>
    </row>
    <row r="771">
      <c r="B771" s="40"/>
      <c r="C771" s="40"/>
      <c r="D771" s="40"/>
    </row>
    <row r="772">
      <c r="B772" s="40"/>
      <c r="C772" s="40"/>
      <c r="D772" s="40"/>
    </row>
    <row r="773">
      <c r="B773" s="40"/>
      <c r="C773" s="40"/>
      <c r="D773" s="40"/>
    </row>
    <row r="774">
      <c r="B774" s="40"/>
      <c r="C774" s="40"/>
      <c r="D774" s="40"/>
    </row>
    <row r="775">
      <c r="B775" s="40"/>
      <c r="C775" s="40"/>
      <c r="D775" s="40"/>
    </row>
    <row r="776">
      <c r="B776" s="40"/>
      <c r="C776" s="40"/>
      <c r="D776" s="40"/>
    </row>
    <row r="777">
      <c r="B777" s="40"/>
      <c r="C777" s="40"/>
      <c r="D777" s="40"/>
    </row>
    <row r="778">
      <c r="B778" s="40"/>
      <c r="C778" s="40"/>
      <c r="D778" s="40"/>
    </row>
    <row r="779">
      <c r="B779" s="40"/>
      <c r="C779" s="40"/>
      <c r="D779" s="40"/>
    </row>
    <row r="780">
      <c r="B780" s="40"/>
      <c r="C780" s="40"/>
      <c r="D780" s="40"/>
    </row>
    <row r="781">
      <c r="B781" s="40"/>
      <c r="C781" s="40"/>
      <c r="D781" s="40"/>
    </row>
    <row r="782">
      <c r="B782" s="40"/>
      <c r="C782" s="40"/>
      <c r="D782" s="40"/>
    </row>
    <row r="783">
      <c r="B783" s="40"/>
      <c r="C783" s="40"/>
      <c r="D783" s="40"/>
    </row>
    <row r="784">
      <c r="B784" s="40"/>
      <c r="C784" s="40"/>
      <c r="D784" s="40"/>
    </row>
    <row r="785">
      <c r="B785" s="40"/>
      <c r="C785" s="40"/>
      <c r="D785" s="40"/>
    </row>
    <row r="786">
      <c r="B786" s="40"/>
      <c r="C786" s="40"/>
      <c r="D786" s="40"/>
    </row>
    <row r="787">
      <c r="B787" s="40"/>
      <c r="C787" s="40"/>
      <c r="D787" s="40"/>
    </row>
    <row r="788">
      <c r="B788" s="40"/>
      <c r="C788" s="40"/>
      <c r="D788" s="40"/>
    </row>
    <row r="789">
      <c r="B789" s="40"/>
      <c r="C789" s="40"/>
      <c r="D789" s="40"/>
    </row>
    <row r="790">
      <c r="B790" s="40"/>
      <c r="C790" s="40"/>
      <c r="D790" s="40"/>
    </row>
    <row r="791">
      <c r="B791" s="40"/>
      <c r="C791" s="40"/>
      <c r="D791" s="40"/>
    </row>
    <row r="792">
      <c r="B792" s="40"/>
      <c r="C792" s="40"/>
      <c r="D792" s="40"/>
    </row>
    <row r="793">
      <c r="B793" s="40"/>
      <c r="C793" s="40"/>
      <c r="D793" s="40"/>
    </row>
    <row r="794">
      <c r="B794" s="40"/>
      <c r="C794" s="40"/>
      <c r="D794" s="40"/>
    </row>
    <row r="795">
      <c r="B795" s="40"/>
      <c r="C795" s="40"/>
      <c r="D795" s="40"/>
    </row>
    <row r="796">
      <c r="B796" s="40"/>
      <c r="C796" s="40"/>
      <c r="D796" s="40"/>
    </row>
    <row r="797">
      <c r="B797" s="40"/>
      <c r="C797" s="40"/>
      <c r="D797" s="40"/>
    </row>
    <row r="798">
      <c r="B798" s="40"/>
      <c r="C798" s="40"/>
      <c r="D798" s="40"/>
    </row>
    <row r="799">
      <c r="B799" s="40"/>
      <c r="C799" s="40"/>
      <c r="D799" s="40"/>
    </row>
    <row r="800">
      <c r="B800" s="40"/>
      <c r="C800" s="40"/>
      <c r="D800" s="40"/>
    </row>
    <row r="801">
      <c r="B801" s="40"/>
      <c r="C801" s="40"/>
      <c r="D801" s="40"/>
    </row>
    <row r="802">
      <c r="B802" s="40"/>
      <c r="C802" s="40"/>
      <c r="D802" s="40"/>
    </row>
    <row r="803">
      <c r="B803" s="40"/>
      <c r="C803" s="40"/>
      <c r="D803" s="40"/>
    </row>
    <row r="804">
      <c r="B804" s="40"/>
      <c r="C804" s="40"/>
      <c r="D804" s="40"/>
    </row>
    <row r="805">
      <c r="B805" s="40"/>
      <c r="C805" s="40"/>
      <c r="D805" s="40"/>
    </row>
    <row r="806">
      <c r="B806" s="40"/>
      <c r="C806" s="40"/>
      <c r="D806" s="40"/>
    </row>
    <row r="807">
      <c r="B807" s="40"/>
      <c r="C807" s="40"/>
      <c r="D807" s="40"/>
    </row>
    <row r="808">
      <c r="B808" s="40"/>
      <c r="C808" s="40"/>
      <c r="D808" s="40"/>
    </row>
    <row r="809">
      <c r="B809" s="40"/>
      <c r="C809" s="40"/>
      <c r="D809" s="40"/>
    </row>
    <row r="810">
      <c r="B810" s="40"/>
      <c r="C810" s="40"/>
      <c r="D810" s="40"/>
    </row>
    <row r="811">
      <c r="B811" s="40"/>
      <c r="C811" s="40"/>
      <c r="D811" s="40"/>
    </row>
    <row r="812">
      <c r="B812" s="40"/>
      <c r="C812" s="40"/>
      <c r="D812" s="40"/>
    </row>
    <row r="813">
      <c r="B813" s="40"/>
      <c r="C813" s="40"/>
      <c r="D813" s="40"/>
    </row>
    <row r="814">
      <c r="B814" s="40"/>
      <c r="C814" s="40"/>
      <c r="D814" s="40"/>
    </row>
    <row r="815">
      <c r="B815" s="40"/>
      <c r="C815" s="40"/>
      <c r="D815" s="40"/>
    </row>
    <row r="816">
      <c r="B816" s="40"/>
      <c r="C816" s="40"/>
      <c r="D816" s="40"/>
    </row>
    <row r="817">
      <c r="B817" s="40"/>
      <c r="C817" s="40"/>
      <c r="D817" s="40"/>
    </row>
    <row r="818">
      <c r="B818" s="40"/>
      <c r="C818" s="40"/>
      <c r="D818" s="40"/>
    </row>
    <row r="819">
      <c r="B819" s="40"/>
      <c r="C819" s="40"/>
      <c r="D819" s="40"/>
    </row>
    <row r="820">
      <c r="B820" s="40"/>
      <c r="C820" s="40"/>
      <c r="D820" s="40"/>
    </row>
    <row r="821">
      <c r="B821" s="40"/>
      <c r="C821" s="40"/>
      <c r="D821" s="40"/>
    </row>
    <row r="822">
      <c r="B822" s="40"/>
      <c r="C822" s="40"/>
      <c r="D822" s="40"/>
    </row>
    <row r="823">
      <c r="B823" s="40"/>
      <c r="C823" s="40"/>
      <c r="D823" s="40"/>
    </row>
    <row r="824">
      <c r="B824" s="40"/>
      <c r="C824" s="40"/>
      <c r="D824" s="40"/>
    </row>
    <row r="825">
      <c r="B825" s="40"/>
      <c r="C825" s="40"/>
      <c r="D825" s="40"/>
    </row>
    <row r="826">
      <c r="B826" s="40"/>
      <c r="C826" s="40"/>
      <c r="D826" s="40"/>
    </row>
    <row r="827">
      <c r="B827" s="40"/>
      <c r="C827" s="40"/>
      <c r="D827" s="40"/>
    </row>
    <row r="828">
      <c r="B828" s="40"/>
      <c r="C828" s="40"/>
      <c r="D828" s="40"/>
    </row>
    <row r="829">
      <c r="B829" s="40"/>
      <c r="C829" s="40"/>
      <c r="D829" s="40"/>
    </row>
    <row r="830">
      <c r="B830" s="40"/>
      <c r="C830" s="40"/>
      <c r="D830" s="40"/>
    </row>
    <row r="831">
      <c r="B831" s="40"/>
      <c r="C831" s="40"/>
      <c r="D831" s="40"/>
    </row>
    <row r="832">
      <c r="B832" s="40"/>
      <c r="C832" s="40"/>
      <c r="D832" s="40"/>
    </row>
    <row r="833">
      <c r="B833" s="40"/>
      <c r="C833" s="40"/>
      <c r="D833" s="40"/>
    </row>
    <row r="834">
      <c r="B834" s="40"/>
      <c r="C834" s="40"/>
      <c r="D834" s="40"/>
    </row>
    <row r="835">
      <c r="B835" s="40"/>
      <c r="C835" s="40"/>
      <c r="D835" s="40"/>
    </row>
    <row r="836">
      <c r="B836" s="40"/>
      <c r="C836" s="40"/>
      <c r="D836" s="40"/>
    </row>
    <row r="837">
      <c r="B837" s="40"/>
      <c r="C837" s="40"/>
      <c r="D837" s="40"/>
    </row>
    <row r="838">
      <c r="B838" s="40"/>
      <c r="C838" s="40"/>
      <c r="D838" s="40"/>
    </row>
    <row r="839">
      <c r="B839" s="40"/>
      <c r="C839" s="40"/>
      <c r="D839" s="40"/>
    </row>
    <row r="840">
      <c r="B840" s="40"/>
      <c r="C840" s="40"/>
      <c r="D840" s="40"/>
    </row>
    <row r="841">
      <c r="B841" s="40"/>
      <c r="C841" s="40"/>
      <c r="D841" s="40"/>
    </row>
    <row r="842">
      <c r="B842" s="40"/>
      <c r="C842" s="40"/>
      <c r="D842" s="40"/>
    </row>
    <row r="843">
      <c r="B843" s="40"/>
      <c r="C843" s="40"/>
      <c r="D843" s="40"/>
    </row>
    <row r="844">
      <c r="B844" s="40"/>
      <c r="C844" s="40"/>
      <c r="D844" s="40"/>
    </row>
    <row r="845">
      <c r="B845" s="40"/>
      <c r="C845" s="40"/>
      <c r="D845" s="40"/>
    </row>
    <row r="846">
      <c r="B846" s="40"/>
      <c r="C846" s="40"/>
      <c r="D846" s="40"/>
    </row>
    <row r="847">
      <c r="B847" s="40"/>
      <c r="C847" s="40"/>
      <c r="D847" s="40"/>
    </row>
    <row r="848">
      <c r="B848" s="40"/>
      <c r="C848" s="40"/>
      <c r="D848" s="40"/>
    </row>
    <row r="849">
      <c r="B849" s="40"/>
      <c r="C849" s="40"/>
      <c r="D849" s="40"/>
    </row>
    <row r="850">
      <c r="B850" s="40"/>
      <c r="C850" s="40"/>
      <c r="D850" s="40"/>
    </row>
    <row r="851">
      <c r="B851" s="40"/>
      <c r="C851" s="40"/>
      <c r="D851" s="40"/>
    </row>
    <row r="852">
      <c r="B852" s="40"/>
      <c r="C852" s="40"/>
      <c r="D852" s="40"/>
    </row>
    <row r="853">
      <c r="B853" s="40"/>
      <c r="C853" s="40"/>
      <c r="D853" s="40"/>
    </row>
    <row r="854">
      <c r="B854" s="40"/>
      <c r="C854" s="40"/>
      <c r="D854" s="40"/>
    </row>
    <row r="855">
      <c r="B855" s="40"/>
      <c r="C855" s="40"/>
      <c r="D855" s="40"/>
    </row>
    <row r="856">
      <c r="B856" s="40"/>
      <c r="C856" s="40"/>
      <c r="D856" s="40"/>
    </row>
    <row r="857">
      <c r="B857" s="40"/>
      <c r="C857" s="40"/>
      <c r="D857" s="40"/>
    </row>
    <row r="858">
      <c r="B858" s="40"/>
      <c r="C858" s="40"/>
      <c r="D858" s="40"/>
    </row>
    <row r="859">
      <c r="B859" s="40"/>
      <c r="C859" s="40"/>
      <c r="D859" s="40"/>
    </row>
    <row r="860">
      <c r="B860" s="40"/>
      <c r="C860" s="40"/>
      <c r="D860" s="40"/>
    </row>
    <row r="861">
      <c r="B861" s="40"/>
      <c r="C861" s="40"/>
      <c r="D861" s="40"/>
    </row>
    <row r="862">
      <c r="B862" s="40"/>
      <c r="C862" s="40"/>
      <c r="D862" s="40"/>
    </row>
    <row r="863">
      <c r="B863" s="40"/>
      <c r="C863" s="40"/>
      <c r="D863" s="40"/>
    </row>
    <row r="864">
      <c r="B864" s="40"/>
      <c r="C864" s="40"/>
      <c r="D864" s="40"/>
    </row>
    <row r="865">
      <c r="B865" s="40"/>
      <c r="C865" s="40"/>
      <c r="D865" s="40"/>
    </row>
    <row r="866">
      <c r="B866" s="40"/>
      <c r="C866" s="40"/>
      <c r="D866" s="40"/>
    </row>
    <row r="867">
      <c r="B867" s="40"/>
      <c r="C867" s="40"/>
      <c r="D867" s="40"/>
    </row>
    <row r="868">
      <c r="B868" s="40"/>
      <c r="C868" s="40"/>
      <c r="D868" s="40"/>
    </row>
    <row r="869">
      <c r="B869" s="40"/>
      <c r="C869" s="40"/>
      <c r="D869" s="40"/>
    </row>
    <row r="870">
      <c r="B870" s="40"/>
      <c r="C870" s="40"/>
      <c r="D870" s="40"/>
    </row>
    <row r="871">
      <c r="B871" s="40"/>
      <c r="C871" s="40"/>
      <c r="D871" s="40"/>
    </row>
    <row r="872">
      <c r="B872" s="40"/>
      <c r="C872" s="40"/>
      <c r="D872" s="40"/>
    </row>
    <row r="873">
      <c r="B873" s="40"/>
      <c r="C873" s="40"/>
      <c r="D873" s="40"/>
    </row>
    <row r="874">
      <c r="B874" s="40"/>
      <c r="C874" s="40"/>
      <c r="D874" s="40"/>
    </row>
    <row r="875">
      <c r="B875" s="40"/>
      <c r="C875" s="40"/>
      <c r="D875" s="40"/>
    </row>
    <row r="876">
      <c r="B876" s="40"/>
      <c r="C876" s="40"/>
      <c r="D876" s="40"/>
    </row>
    <row r="877">
      <c r="B877" s="40"/>
      <c r="C877" s="40"/>
      <c r="D877" s="40"/>
    </row>
    <row r="878">
      <c r="B878" s="40"/>
      <c r="C878" s="40"/>
      <c r="D878" s="40"/>
    </row>
    <row r="879">
      <c r="B879" s="40"/>
      <c r="C879" s="40"/>
      <c r="D879" s="40"/>
    </row>
    <row r="880">
      <c r="B880" s="40"/>
      <c r="C880" s="40"/>
      <c r="D880" s="40"/>
    </row>
    <row r="881">
      <c r="B881" s="40"/>
      <c r="C881" s="40"/>
      <c r="D881" s="40"/>
    </row>
    <row r="882">
      <c r="B882" s="40"/>
      <c r="C882" s="40"/>
      <c r="D882" s="40"/>
    </row>
    <row r="883">
      <c r="B883" s="40"/>
      <c r="C883" s="40"/>
      <c r="D883" s="40"/>
    </row>
    <row r="884">
      <c r="B884" s="40"/>
      <c r="C884" s="40"/>
      <c r="D884" s="40"/>
    </row>
    <row r="885">
      <c r="B885" s="40"/>
      <c r="C885" s="40"/>
      <c r="D885" s="40"/>
    </row>
    <row r="886">
      <c r="B886" s="40"/>
      <c r="C886" s="40"/>
      <c r="D886" s="40"/>
    </row>
    <row r="887">
      <c r="B887" s="40"/>
      <c r="C887" s="40"/>
      <c r="D887" s="40"/>
    </row>
    <row r="888">
      <c r="B888" s="40"/>
      <c r="C888" s="40"/>
      <c r="D888" s="40"/>
    </row>
    <row r="889">
      <c r="B889" s="40"/>
      <c r="C889" s="40"/>
      <c r="D889" s="40"/>
    </row>
    <row r="890">
      <c r="B890" s="40"/>
      <c r="C890" s="40"/>
      <c r="D890" s="40"/>
    </row>
    <row r="891">
      <c r="B891" s="40"/>
      <c r="C891" s="40"/>
      <c r="D891" s="40"/>
    </row>
    <row r="892">
      <c r="B892" s="40"/>
      <c r="C892" s="40"/>
      <c r="D892" s="40"/>
    </row>
    <row r="893">
      <c r="B893" s="40"/>
      <c r="C893" s="40"/>
      <c r="D893" s="40"/>
    </row>
    <row r="894">
      <c r="B894" s="40"/>
      <c r="C894" s="40"/>
      <c r="D894" s="40"/>
    </row>
    <row r="895">
      <c r="B895" s="40"/>
      <c r="C895" s="40"/>
      <c r="D895" s="40"/>
    </row>
    <row r="896">
      <c r="B896" s="40"/>
      <c r="C896" s="40"/>
      <c r="D896" s="40"/>
    </row>
    <row r="897">
      <c r="B897" s="40"/>
      <c r="C897" s="40"/>
      <c r="D897" s="40"/>
    </row>
    <row r="898">
      <c r="B898" s="40"/>
      <c r="C898" s="40"/>
      <c r="D898" s="40"/>
    </row>
    <row r="899">
      <c r="B899" s="40"/>
      <c r="C899" s="40"/>
      <c r="D899" s="40"/>
    </row>
    <row r="900">
      <c r="B900" s="40"/>
      <c r="C900" s="40"/>
      <c r="D900" s="40"/>
    </row>
    <row r="901">
      <c r="B901" s="40"/>
      <c r="C901" s="40"/>
      <c r="D901" s="40"/>
    </row>
    <row r="902">
      <c r="B902" s="40"/>
      <c r="C902" s="40"/>
      <c r="D902" s="40"/>
    </row>
    <row r="903">
      <c r="B903" s="40"/>
      <c r="C903" s="40"/>
      <c r="D903" s="40"/>
    </row>
    <row r="904">
      <c r="B904" s="40"/>
      <c r="C904" s="40"/>
      <c r="D904" s="40"/>
    </row>
    <row r="905">
      <c r="B905" s="40"/>
      <c r="C905" s="40"/>
      <c r="D905" s="40"/>
    </row>
    <row r="906">
      <c r="B906" s="40"/>
      <c r="C906" s="40"/>
      <c r="D906" s="40"/>
    </row>
    <row r="907">
      <c r="B907" s="40"/>
      <c r="C907" s="40"/>
      <c r="D907" s="40"/>
    </row>
    <row r="908">
      <c r="B908" s="40"/>
      <c r="C908" s="40"/>
      <c r="D908" s="40"/>
    </row>
    <row r="909">
      <c r="B909" s="40"/>
      <c r="C909" s="40"/>
      <c r="D909" s="40"/>
    </row>
    <row r="910">
      <c r="B910" s="40"/>
      <c r="C910" s="40"/>
      <c r="D910" s="40"/>
    </row>
    <row r="911">
      <c r="B911" s="40"/>
      <c r="C911" s="40"/>
      <c r="D911" s="40"/>
    </row>
    <row r="912">
      <c r="B912" s="40"/>
      <c r="C912" s="40"/>
      <c r="D912" s="40"/>
    </row>
    <row r="913">
      <c r="B913" s="40"/>
      <c r="C913" s="40"/>
      <c r="D913" s="40"/>
    </row>
    <row r="914">
      <c r="B914" s="40"/>
      <c r="C914" s="40"/>
      <c r="D914" s="40"/>
    </row>
    <row r="915">
      <c r="B915" s="40"/>
      <c r="C915" s="40"/>
      <c r="D915" s="40"/>
    </row>
    <row r="916">
      <c r="B916" s="40"/>
      <c r="C916" s="40"/>
      <c r="D916" s="40"/>
    </row>
    <row r="917">
      <c r="B917" s="40"/>
      <c r="C917" s="40"/>
      <c r="D917" s="40"/>
    </row>
    <row r="918">
      <c r="B918" s="40"/>
      <c r="C918" s="40"/>
      <c r="D918" s="40"/>
    </row>
    <row r="919">
      <c r="B919" s="40"/>
      <c r="C919" s="40"/>
      <c r="D919" s="40"/>
    </row>
    <row r="920">
      <c r="B920" s="40"/>
      <c r="C920" s="40"/>
      <c r="D920" s="40"/>
    </row>
    <row r="921">
      <c r="B921" s="40"/>
      <c r="C921" s="40"/>
      <c r="D921" s="40"/>
    </row>
    <row r="922">
      <c r="B922" s="40"/>
      <c r="C922" s="40"/>
      <c r="D922" s="40"/>
    </row>
    <row r="923">
      <c r="B923" s="40"/>
      <c r="C923" s="40"/>
      <c r="D923" s="40"/>
    </row>
    <row r="924">
      <c r="B924" s="40"/>
      <c r="C924" s="40"/>
      <c r="D924" s="40"/>
    </row>
    <row r="925">
      <c r="B925" s="40"/>
      <c r="C925" s="40"/>
      <c r="D925" s="40"/>
    </row>
    <row r="926">
      <c r="B926" s="40"/>
      <c r="C926" s="40"/>
      <c r="D926" s="40"/>
    </row>
    <row r="927">
      <c r="B927" s="40"/>
      <c r="C927" s="40"/>
      <c r="D927" s="40"/>
    </row>
    <row r="928">
      <c r="B928" s="40"/>
      <c r="C928" s="40"/>
      <c r="D928" s="40"/>
    </row>
    <row r="929">
      <c r="B929" s="40"/>
      <c r="C929" s="40"/>
      <c r="D929" s="40"/>
    </row>
    <row r="930">
      <c r="B930" s="40"/>
      <c r="C930" s="40"/>
      <c r="D930" s="40"/>
    </row>
    <row r="931">
      <c r="B931" s="40"/>
      <c r="C931" s="40"/>
      <c r="D931" s="40"/>
    </row>
    <row r="932">
      <c r="B932" s="40"/>
      <c r="C932" s="40"/>
      <c r="D932" s="40"/>
    </row>
    <row r="933">
      <c r="B933" s="40"/>
      <c r="C933" s="40"/>
      <c r="D933" s="40"/>
    </row>
    <row r="934">
      <c r="B934" s="40"/>
      <c r="C934" s="40"/>
      <c r="D934" s="40"/>
    </row>
    <row r="935">
      <c r="B935" s="40"/>
      <c r="C935" s="40"/>
      <c r="D935" s="40"/>
    </row>
    <row r="936">
      <c r="B936" s="40"/>
      <c r="C936" s="40"/>
      <c r="D936" s="40"/>
    </row>
    <row r="937">
      <c r="B937" s="40"/>
      <c r="C937" s="40"/>
      <c r="D937" s="40"/>
    </row>
    <row r="938">
      <c r="B938" s="40"/>
      <c r="C938" s="40"/>
      <c r="D938" s="40"/>
    </row>
    <row r="939">
      <c r="B939" s="40"/>
      <c r="C939" s="40"/>
      <c r="D939" s="40"/>
    </row>
    <row r="940">
      <c r="B940" s="40"/>
      <c r="C940" s="40"/>
      <c r="D940" s="40"/>
    </row>
    <row r="941">
      <c r="B941" s="40"/>
      <c r="C941" s="40"/>
      <c r="D941" s="40"/>
    </row>
    <row r="942">
      <c r="B942" s="40"/>
      <c r="C942" s="40"/>
      <c r="D942" s="40"/>
    </row>
    <row r="943">
      <c r="B943" s="40"/>
      <c r="C943" s="40"/>
      <c r="D943" s="40"/>
    </row>
    <row r="944">
      <c r="B944" s="40"/>
      <c r="C944" s="40"/>
      <c r="D944" s="40"/>
    </row>
    <row r="945">
      <c r="B945" s="40"/>
      <c r="C945" s="40"/>
      <c r="D945" s="40"/>
    </row>
    <row r="946">
      <c r="B946" s="40"/>
      <c r="C946" s="40"/>
      <c r="D946" s="40"/>
    </row>
    <row r="947">
      <c r="B947" s="40"/>
      <c r="C947" s="40"/>
      <c r="D947" s="40"/>
    </row>
    <row r="948">
      <c r="B948" s="40"/>
      <c r="C948" s="40"/>
      <c r="D948" s="40"/>
    </row>
    <row r="949">
      <c r="B949" s="40"/>
      <c r="C949" s="40"/>
      <c r="D949" s="40"/>
    </row>
    <row r="950">
      <c r="B950" s="40"/>
      <c r="C950" s="40"/>
      <c r="D950" s="40"/>
    </row>
    <row r="951">
      <c r="B951" s="40"/>
      <c r="C951" s="40"/>
      <c r="D951" s="40"/>
    </row>
    <row r="952">
      <c r="B952" s="40"/>
      <c r="C952" s="40"/>
      <c r="D952" s="40"/>
    </row>
    <row r="953">
      <c r="B953" s="40"/>
      <c r="C953" s="40"/>
      <c r="D953" s="40"/>
    </row>
    <row r="954">
      <c r="B954" s="40"/>
      <c r="C954" s="40"/>
      <c r="D954" s="40"/>
    </row>
    <row r="955">
      <c r="B955" s="40"/>
      <c r="C955" s="40"/>
      <c r="D955" s="40"/>
    </row>
    <row r="956">
      <c r="B956" s="40"/>
      <c r="C956" s="40"/>
      <c r="D956" s="40"/>
    </row>
    <row r="957">
      <c r="B957" s="40"/>
      <c r="C957" s="40"/>
      <c r="D957" s="40"/>
    </row>
    <row r="958">
      <c r="B958" s="40"/>
      <c r="C958" s="40"/>
      <c r="D958" s="40"/>
    </row>
    <row r="959">
      <c r="B959" s="40"/>
      <c r="C959" s="40"/>
      <c r="D959" s="40"/>
    </row>
    <row r="960">
      <c r="B960" s="40"/>
      <c r="C960" s="40"/>
      <c r="D960" s="40"/>
    </row>
    <row r="961">
      <c r="B961" s="40"/>
      <c r="C961" s="40"/>
      <c r="D961" s="40"/>
    </row>
    <row r="962">
      <c r="B962" s="40"/>
      <c r="C962" s="40"/>
      <c r="D962" s="40"/>
    </row>
    <row r="963">
      <c r="B963" s="40"/>
      <c r="C963" s="40"/>
      <c r="D963" s="40"/>
    </row>
    <row r="964">
      <c r="B964" s="40"/>
      <c r="C964" s="40"/>
      <c r="D964" s="40"/>
    </row>
    <row r="965">
      <c r="B965" s="40"/>
      <c r="C965" s="40"/>
      <c r="D965" s="40"/>
    </row>
    <row r="966">
      <c r="B966" s="40"/>
      <c r="C966" s="40"/>
      <c r="D966" s="40"/>
    </row>
    <row r="967">
      <c r="B967" s="40"/>
      <c r="C967" s="40"/>
      <c r="D967" s="40"/>
    </row>
    <row r="968">
      <c r="B968" s="40"/>
      <c r="C968" s="40"/>
      <c r="D968" s="40"/>
    </row>
    <row r="969">
      <c r="B969" s="40"/>
      <c r="C969" s="40"/>
      <c r="D969" s="40"/>
    </row>
    <row r="970">
      <c r="B970" s="40"/>
      <c r="C970" s="40"/>
      <c r="D970" s="40"/>
    </row>
    <row r="971">
      <c r="B971" s="40"/>
      <c r="C971" s="40"/>
      <c r="D971" s="40"/>
    </row>
    <row r="972">
      <c r="B972" s="40"/>
      <c r="C972" s="40"/>
      <c r="D972" s="40"/>
    </row>
    <row r="973">
      <c r="B973" s="40"/>
      <c r="C973" s="40"/>
      <c r="D973" s="40"/>
    </row>
    <row r="974">
      <c r="B974" s="40"/>
      <c r="C974" s="40"/>
      <c r="D974" s="40"/>
    </row>
    <row r="975">
      <c r="B975" s="40"/>
      <c r="C975" s="40"/>
      <c r="D975" s="40"/>
    </row>
    <row r="976">
      <c r="B976" s="40"/>
      <c r="C976" s="40"/>
      <c r="D976" s="40"/>
    </row>
    <row r="977">
      <c r="B977" s="40"/>
      <c r="C977" s="40"/>
      <c r="D977" s="40"/>
    </row>
    <row r="978">
      <c r="B978" s="40"/>
      <c r="C978" s="40"/>
      <c r="D978" s="40"/>
    </row>
    <row r="979">
      <c r="B979" s="40"/>
      <c r="C979" s="40"/>
      <c r="D979" s="40"/>
    </row>
    <row r="980">
      <c r="B980" s="40"/>
      <c r="C980" s="40"/>
      <c r="D980" s="40"/>
    </row>
    <row r="981">
      <c r="B981" s="40"/>
      <c r="C981" s="40"/>
      <c r="D981" s="40"/>
    </row>
    <row r="982">
      <c r="B982" s="40"/>
      <c r="C982" s="40"/>
      <c r="D982" s="40"/>
    </row>
    <row r="983">
      <c r="B983" s="40"/>
      <c r="C983" s="40"/>
      <c r="D983" s="40"/>
    </row>
    <row r="984">
      <c r="B984" s="40"/>
      <c r="C984" s="40"/>
      <c r="D984" s="40"/>
    </row>
    <row r="985">
      <c r="B985" s="40"/>
      <c r="C985" s="40"/>
      <c r="D985" s="40"/>
    </row>
    <row r="986">
      <c r="B986" s="40"/>
      <c r="C986" s="40"/>
      <c r="D986" s="40"/>
    </row>
    <row r="987">
      <c r="B987" s="40"/>
      <c r="C987" s="40"/>
      <c r="D987" s="40"/>
    </row>
    <row r="988">
      <c r="B988" s="40"/>
      <c r="C988" s="40"/>
      <c r="D988" s="40"/>
    </row>
    <row r="989">
      <c r="B989" s="40"/>
      <c r="C989" s="40"/>
      <c r="D989" s="40"/>
    </row>
    <row r="990">
      <c r="B990" s="40"/>
      <c r="C990" s="40"/>
      <c r="D990" s="40"/>
    </row>
    <row r="991">
      <c r="B991" s="40"/>
      <c r="C991" s="40"/>
      <c r="D991" s="40"/>
    </row>
    <row r="992">
      <c r="B992" s="40"/>
      <c r="C992" s="40"/>
      <c r="D992" s="40"/>
    </row>
    <row r="993">
      <c r="B993" s="40"/>
      <c r="C993" s="40"/>
      <c r="D993" s="40"/>
    </row>
    <row r="994">
      <c r="B994" s="40"/>
      <c r="C994" s="40"/>
      <c r="D994" s="40"/>
    </row>
    <row r="995">
      <c r="B995" s="40"/>
      <c r="C995" s="40"/>
      <c r="D995" s="40"/>
    </row>
    <row r="996">
      <c r="B996" s="40"/>
      <c r="C996" s="40"/>
      <c r="D996" s="40"/>
    </row>
    <row r="997">
      <c r="B997" s="40"/>
      <c r="C997" s="40"/>
      <c r="D997" s="40"/>
    </row>
    <row r="998">
      <c r="B998" s="40"/>
      <c r="C998" s="40"/>
      <c r="D998" s="40"/>
    </row>
    <row r="999">
      <c r="B999" s="40"/>
      <c r="C999" s="40"/>
      <c r="D999" s="40"/>
    </row>
    <row r="1000">
      <c r="B1000" s="40"/>
      <c r="C1000" s="40"/>
      <c r="D1000" s="40"/>
    </row>
  </sheetData>
  <conditionalFormatting sqref="E2:AA16">
    <cfRule type="cellIs" dxfId="0" priority="1" operator="equal">
      <formula>"TRUE"</formula>
    </cfRule>
  </conditionalFormatting>
  <conditionalFormatting sqref="I19">
    <cfRule type="notContainsBlanks" dxfId="5" priority="2">
      <formula>LEN(TRIM(I19))&gt;0</formula>
    </cfRule>
  </conditionalFormatting>
  <conditionalFormatting sqref="I19">
    <cfRule type="notContainsBlanks" dxfId="5" priority="3">
      <formula>LEN(TRIM(I19))&gt;0</formula>
    </cfRule>
  </conditionalFormatting>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7.25"/>
    <col customWidth="1" min="3" max="4" width="7.38"/>
  </cols>
  <sheetData>
    <row r="1">
      <c r="B1" s="10" t="s">
        <v>29</v>
      </c>
      <c r="C1" s="10" t="s">
        <v>30</v>
      </c>
      <c r="D1" s="21" t="s">
        <v>31</v>
      </c>
      <c r="E1" s="21" t="s">
        <v>103</v>
      </c>
      <c r="F1" s="21" t="s">
        <v>104</v>
      </c>
      <c r="G1" s="21" t="s">
        <v>105</v>
      </c>
      <c r="H1" s="21" t="s">
        <v>106</v>
      </c>
      <c r="I1" s="21" t="s">
        <v>107</v>
      </c>
      <c r="J1" s="21" t="s">
        <v>108</v>
      </c>
      <c r="K1" s="21" t="s">
        <v>109</v>
      </c>
      <c r="L1" s="21" t="s">
        <v>110</v>
      </c>
      <c r="M1" s="21" t="s">
        <v>111</v>
      </c>
      <c r="N1" s="21" t="s">
        <v>112</v>
      </c>
      <c r="O1" s="21" t="s">
        <v>113</v>
      </c>
      <c r="P1" s="21" t="s">
        <v>114</v>
      </c>
      <c r="Q1" s="21" t="s">
        <v>115</v>
      </c>
      <c r="R1" s="24" t="s">
        <v>116</v>
      </c>
      <c r="S1" s="24" t="s">
        <v>117</v>
      </c>
      <c r="T1" s="24" t="s">
        <v>118</v>
      </c>
      <c r="U1" s="24" t="s">
        <v>119</v>
      </c>
      <c r="V1" s="24" t="s">
        <v>120</v>
      </c>
      <c r="W1" s="24" t="s">
        <v>121</v>
      </c>
      <c r="X1" s="24" t="s">
        <v>122</v>
      </c>
      <c r="Y1" s="24" t="s">
        <v>123</v>
      </c>
      <c r="Z1" s="24" t="s">
        <v>124</v>
      </c>
      <c r="AA1" s="25" t="s">
        <v>125</v>
      </c>
      <c r="AB1" s="25" t="s">
        <v>125</v>
      </c>
      <c r="AC1" s="25" t="s">
        <v>125</v>
      </c>
    </row>
    <row r="2">
      <c r="A2" s="26" t="s">
        <v>49</v>
      </c>
      <c r="B2" s="12">
        <f t="shared" ref="B2:B16" si="1">COUNTIF(E2:Q2, TRUE) / COUNTA(E2:Q2)</f>
        <v>0.2307692308</v>
      </c>
      <c r="C2" s="12">
        <f t="shared" ref="C2:C16" si="2">COUNTIF(E2:AC2, TRUE) / COUNTA(E2:AC2)</f>
        <v>0.16</v>
      </c>
      <c r="E2" s="21" t="b">
        <v>0</v>
      </c>
      <c r="F2" s="21" t="b">
        <v>1</v>
      </c>
      <c r="G2" s="21" t="b">
        <v>1</v>
      </c>
      <c r="H2" s="21" t="b">
        <v>0</v>
      </c>
      <c r="I2" s="21" t="b">
        <v>0</v>
      </c>
      <c r="J2" s="21" t="b">
        <v>0</v>
      </c>
      <c r="K2" s="21" t="b">
        <v>0</v>
      </c>
      <c r="L2" s="21" t="b">
        <v>0</v>
      </c>
      <c r="M2" s="21" t="b">
        <v>0</v>
      </c>
      <c r="N2" s="21" t="b">
        <v>0</v>
      </c>
      <c r="O2" s="21" t="b">
        <v>1</v>
      </c>
      <c r="P2" s="21" t="b">
        <v>0</v>
      </c>
      <c r="Q2" s="21" t="b">
        <v>0</v>
      </c>
      <c r="R2" s="21" t="b">
        <v>0</v>
      </c>
      <c r="S2" s="21" t="b">
        <v>1</v>
      </c>
      <c r="T2" s="21" t="b">
        <v>0</v>
      </c>
      <c r="U2" s="21" t="b">
        <v>0</v>
      </c>
      <c r="V2" s="21" t="b">
        <v>0</v>
      </c>
      <c r="W2" s="21" t="b">
        <v>0</v>
      </c>
      <c r="X2" s="21" t="b">
        <v>0</v>
      </c>
      <c r="Y2" s="21" t="b">
        <v>0</v>
      </c>
      <c r="Z2" s="21" t="b">
        <v>0</v>
      </c>
      <c r="AA2" s="21" t="b">
        <v>0</v>
      </c>
      <c r="AB2" s="21" t="b">
        <v>0</v>
      </c>
      <c r="AC2" s="21" t="b">
        <v>0</v>
      </c>
    </row>
    <row r="3">
      <c r="A3" s="26" t="s">
        <v>50</v>
      </c>
      <c r="B3" s="12">
        <f t="shared" si="1"/>
        <v>0.3076923077</v>
      </c>
      <c r="C3" s="12">
        <f t="shared" si="2"/>
        <v>0.2</v>
      </c>
      <c r="E3" s="21" t="b">
        <v>0</v>
      </c>
      <c r="F3" s="21" t="b">
        <v>0</v>
      </c>
      <c r="G3" s="21" t="b">
        <v>1</v>
      </c>
      <c r="H3" s="21" t="b">
        <v>0</v>
      </c>
      <c r="I3" s="21" t="b">
        <v>0</v>
      </c>
      <c r="J3" s="21" t="b">
        <v>0</v>
      </c>
      <c r="K3" s="21" t="b">
        <v>0</v>
      </c>
      <c r="L3" s="21" t="b">
        <v>0</v>
      </c>
      <c r="M3" s="21" t="b">
        <v>1</v>
      </c>
      <c r="N3" s="21" t="b">
        <v>0</v>
      </c>
      <c r="O3" s="21" t="b">
        <v>1</v>
      </c>
      <c r="P3" s="21" t="b">
        <v>1</v>
      </c>
      <c r="Q3" s="21" t="b">
        <v>0</v>
      </c>
      <c r="R3" s="21" t="b">
        <v>0</v>
      </c>
      <c r="S3" s="21" t="b">
        <v>1</v>
      </c>
      <c r="T3" s="21" t="b">
        <v>0</v>
      </c>
      <c r="U3" s="21" t="b">
        <v>0</v>
      </c>
      <c r="V3" s="21" t="b">
        <v>0</v>
      </c>
      <c r="W3" s="21" t="b">
        <v>0</v>
      </c>
      <c r="X3" s="21" t="b">
        <v>0</v>
      </c>
      <c r="Y3" s="21" t="b">
        <v>0</v>
      </c>
      <c r="Z3" s="21" t="b">
        <v>0</v>
      </c>
      <c r="AA3" s="21" t="b">
        <v>0</v>
      </c>
      <c r="AB3" s="21" t="b">
        <v>0</v>
      </c>
      <c r="AC3" s="21" t="b">
        <v>0</v>
      </c>
    </row>
    <row r="4">
      <c r="A4" s="26" t="s">
        <v>51</v>
      </c>
      <c r="B4" s="12">
        <f t="shared" si="1"/>
        <v>0.3076923077</v>
      </c>
      <c r="C4" s="12">
        <f t="shared" si="2"/>
        <v>0.2</v>
      </c>
      <c r="E4" s="21" t="b">
        <v>0</v>
      </c>
      <c r="F4" s="21" t="b">
        <v>1</v>
      </c>
      <c r="G4" s="21" t="b">
        <v>0</v>
      </c>
      <c r="H4" s="21" t="b">
        <v>0</v>
      </c>
      <c r="I4" s="21" t="b">
        <v>0</v>
      </c>
      <c r="J4" s="21" t="b">
        <v>0</v>
      </c>
      <c r="K4" s="21" t="b">
        <v>0</v>
      </c>
      <c r="L4" s="21" t="b">
        <v>0</v>
      </c>
      <c r="M4" s="21" t="b">
        <v>0</v>
      </c>
      <c r="N4" s="21" t="b">
        <v>1</v>
      </c>
      <c r="O4" s="21" t="b">
        <v>1</v>
      </c>
      <c r="P4" s="21" t="b">
        <v>0</v>
      </c>
      <c r="Q4" s="21" t="b">
        <v>1</v>
      </c>
      <c r="R4" s="21" t="b">
        <v>0</v>
      </c>
      <c r="S4" s="21" t="b">
        <v>1</v>
      </c>
      <c r="T4" s="21" t="b">
        <v>0</v>
      </c>
      <c r="U4" s="21" t="b">
        <v>0</v>
      </c>
      <c r="V4" s="21" t="b">
        <v>0</v>
      </c>
      <c r="W4" s="21" t="b">
        <v>0</v>
      </c>
      <c r="X4" s="21" t="b">
        <v>0</v>
      </c>
      <c r="Y4" s="21" t="b">
        <v>0</v>
      </c>
      <c r="Z4" s="21" t="b">
        <v>0</v>
      </c>
      <c r="AA4" s="21" t="b">
        <v>0</v>
      </c>
      <c r="AB4" s="21" t="b">
        <v>0</v>
      </c>
      <c r="AC4" s="21" t="b">
        <v>0</v>
      </c>
    </row>
    <row r="5">
      <c r="A5" s="26" t="s">
        <v>52</v>
      </c>
      <c r="B5" s="12">
        <f t="shared" si="1"/>
        <v>0.3076923077</v>
      </c>
      <c r="C5" s="12">
        <f t="shared" si="2"/>
        <v>0.2</v>
      </c>
      <c r="E5" s="21" t="b">
        <v>0</v>
      </c>
      <c r="F5" s="21" t="b">
        <v>1</v>
      </c>
      <c r="G5" s="21" t="b">
        <v>1</v>
      </c>
      <c r="H5" s="21" t="b">
        <v>0</v>
      </c>
      <c r="I5" s="21" t="b">
        <v>0</v>
      </c>
      <c r="J5" s="21" t="b">
        <v>0</v>
      </c>
      <c r="K5" s="21" t="b">
        <v>0</v>
      </c>
      <c r="L5" s="21" t="b">
        <v>0</v>
      </c>
      <c r="M5" s="21" t="b">
        <v>0</v>
      </c>
      <c r="N5" s="21" t="b">
        <v>0</v>
      </c>
      <c r="O5" s="21" t="b">
        <v>1</v>
      </c>
      <c r="P5" s="21" t="b">
        <v>0</v>
      </c>
      <c r="Q5" s="21" t="b">
        <v>1</v>
      </c>
      <c r="R5" s="21" t="b">
        <v>0</v>
      </c>
      <c r="S5" s="21" t="b">
        <v>1</v>
      </c>
      <c r="T5" s="21" t="b">
        <v>0</v>
      </c>
      <c r="U5" s="21" t="b">
        <v>0</v>
      </c>
      <c r="V5" s="21" t="b">
        <v>0</v>
      </c>
      <c r="W5" s="21" t="b">
        <v>0</v>
      </c>
      <c r="X5" s="21" t="b">
        <v>0</v>
      </c>
      <c r="Y5" s="21" t="b">
        <v>0</v>
      </c>
      <c r="Z5" s="21" t="b">
        <v>0</v>
      </c>
      <c r="AA5" s="21" t="b">
        <v>0</v>
      </c>
      <c r="AB5" s="21" t="b">
        <v>0</v>
      </c>
      <c r="AC5" s="21" t="b">
        <v>0</v>
      </c>
    </row>
    <row r="6">
      <c r="A6" s="26" t="s">
        <v>53</v>
      </c>
      <c r="B6" s="12">
        <f t="shared" si="1"/>
        <v>0.1538461538</v>
      </c>
      <c r="C6" s="12">
        <f t="shared" si="2"/>
        <v>0.12</v>
      </c>
      <c r="E6" s="21" t="b">
        <v>0</v>
      </c>
      <c r="F6" s="21" t="b">
        <v>0</v>
      </c>
      <c r="G6" s="21" t="b">
        <v>0</v>
      </c>
      <c r="H6" s="21" t="b">
        <v>0</v>
      </c>
      <c r="I6" s="21" t="b">
        <v>0</v>
      </c>
      <c r="J6" s="21" t="b">
        <v>0</v>
      </c>
      <c r="K6" s="21" t="b">
        <v>0</v>
      </c>
      <c r="L6" s="21" t="b">
        <v>0</v>
      </c>
      <c r="M6" s="21" t="b">
        <v>0</v>
      </c>
      <c r="N6" s="21" t="b">
        <v>0</v>
      </c>
      <c r="O6" s="21" t="b">
        <v>1</v>
      </c>
      <c r="P6" s="21" t="b">
        <v>0</v>
      </c>
      <c r="Q6" s="21" t="b">
        <v>1</v>
      </c>
      <c r="R6" s="21" t="b">
        <v>0</v>
      </c>
      <c r="S6" s="21" t="b">
        <v>1</v>
      </c>
      <c r="T6" s="21" t="b">
        <v>0</v>
      </c>
      <c r="U6" s="21" t="b">
        <v>0</v>
      </c>
      <c r="V6" s="21" t="b">
        <v>0</v>
      </c>
      <c r="W6" s="21" t="b">
        <v>0</v>
      </c>
      <c r="X6" s="21" t="b">
        <v>0</v>
      </c>
      <c r="Y6" s="21" t="b">
        <v>0</v>
      </c>
      <c r="Z6" s="21" t="b">
        <v>0</v>
      </c>
      <c r="AA6" s="21" t="b">
        <v>0</v>
      </c>
      <c r="AB6" s="21" t="b">
        <v>0</v>
      </c>
      <c r="AC6" s="21" t="b">
        <v>0</v>
      </c>
    </row>
    <row r="7">
      <c r="A7" s="26" t="s">
        <v>54</v>
      </c>
      <c r="B7" s="12">
        <f t="shared" si="1"/>
        <v>0.3846153846</v>
      </c>
      <c r="C7" s="12">
        <f t="shared" si="2"/>
        <v>0.2</v>
      </c>
      <c r="E7" s="21" t="b">
        <v>0</v>
      </c>
      <c r="F7" s="21" t="b">
        <v>1</v>
      </c>
      <c r="G7" s="21" t="b">
        <v>1</v>
      </c>
      <c r="H7" s="21" t="b">
        <v>0</v>
      </c>
      <c r="I7" s="21" t="b">
        <v>0</v>
      </c>
      <c r="J7" s="21" t="b">
        <v>0</v>
      </c>
      <c r="K7" s="21" t="b">
        <v>0</v>
      </c>
      <c r="L7" s="21" t="b">
        <v>0</v>
      </c>
      <c r="M7" s="21" t="b">
        <v>0</v>
      </c>
      <c r="N7" s="21" t="b">
        <v>0</v>
      </c>
      <c r="O7" s="21" t="b">
        <v>1</v>
      </c>
      <c r="P7" s="21" t="b">
        <v>1</v>
      </c>
      <c r="Q7" s="21" t="b">
        <v>1</v>
      </c>
      <c r="R7" s="21" t="b">
        <v>0</v>
      </c>
      <c r="S7" s="21" t="b">
        <v>0</v>
      </c>
      <c r="T7" s="21" t="b">
        <v>0</v>
      </c>
      <c r="U7" s="21" t="b">
        <v>0</v>
      </c>
      <c r="V7" s="21" t="b">
        <v>0</v>
      </c>
      <c r="W7" s="21" t="b">
        <v>0</v>
      </c>
      <c r="X7" s="21" t="b">
        <v>0</v>
      </c>
      <c r="Y7" s="21" t="b">
        <v>0</v>
      </c>
      <c r="Z7" s="21" t="b">
        <v>0</v>
      </c>
      <c r="AA7" s="21" t="b">
        <v>0</v>
      </c>
      <c r="AB7" s="21" t="b">
        <v>0</v>
      </c>
      <c r="AC7" s="21" t="b">
        <v>0</v>
      </c>
    </row>
    <row r="8">
      <c r="A8" s="26" t="s">
        <v>55</v>
      </c>
      <c r="B8" s="12">
        <f t="shared" si="1"/>
        <v>0.3846153846</v>
      </c>
      <c r="C8" s="12">
        <f t="shared" si="2"/>
        <v>0.24</v>
      </c>
      <c r="E8" s="21" t="b">
        <v>0</v>
      </c>
      <c r="F8" s="21" t="b">
        <v>1</v>
      </c>
      <c r="G8" s="21" t="b">
        <v>1</v>
      </c>
      <c r="H8" s="21" t="b">
        <v>0</v>
      </c>
      <c r="I8" s="21" t="b">
        <v>0</v>
      </c>
      <c r="J8" s="21" t="b">
        <v>0</v>
      </c>
      <c r="K8" s="21" t="b">
        <v>0</v>
      </c>
      <c r="L8" s="21" t="b">
        <v>0</v>
      </c>
      <c r="M8" s="21" t="b">
        <v>1</v>
      </c>
      <c r="N8" s="21" t="b">
        <v>0</v>
      </c>
      <c r="O8" s="21" t="b">
        <v>1</v>
      </c>
      <c r="P8" s="21" t="b">
        <v>1</v>
      </c>
      <c r="Q8" s="21" t="b">
        <v>0</v>
      </c>
      <c r="R8" s="21" t="b">
        <v>0</v>
      </c>
      <c r="S8" s="21" t="b">
        <v>1</v>
      </c>
      <c r="T8" s="21" t="b">
        <v>0</v>
      </c>
      <c r="U8" s="21" t="b">
        <v>0</v>
      </c>
      <c r="V8" s="21" t="b">
        <v>0</v>
      </c>
      <c r="W8" s="21" t="b">
        <v>0</v>
      </c>
      <c r="X8" s="21" t="b">
        <v>0</v>
      </c>
      <c r="Y8" s="21" t="b">
        <v>0</v>
      </c>
      <c r="Z8" s="21" t="b">
        <v>0</v>
      </c>
      <c r="AA8" s="21" t="b">
        <v>0</v>
      </c>
      <c r="AB8" s="21" t="b">
        <v>0</v>
      </c>
      <c r="AC8" s="21" t="b">
        <v>0</v>
      </c>
    </row>
    <row r="9">
      <c r="A9" s="26" t="s">
        <v>56</v>
      </c>
      <c r="B9" s="12">
        <f t="shared" si="1"/>
        <v>0.2307692308</v>
      </c>
      <c r="C9" s="12">
        <f t="shared" si="2"/>
        <v>0.12</v>
      </c>
      <c r="E9" s="21" t="b">
        <v>1</v>
      </c>
      <c r="F9" s="21" t="b">
        <v>0</v>
      </c>
      <c r="G9" s="21" t="b">
        <v>0</v>
      </c>
      <c r="H9" s="21" t="b">
        <v>0</v>
      </c>
      <c r="I9" s="21" t="b">
        <v>0</v>
      </c>
      <c r="J9" s="21" t="b">
        <v>0</v>
      </c>
      <c r="K9" s="21" t="b">
        <v>0</v>
      </c>
      <c r="L9" s="21" t="b">
        <v>0</v>
      </c>
      <c r="M9" s="21" t="b">
        <v>0</v>
      </c>
      <c r="N9" s="21" t="b">
        <v>1</v>
      </c>
      <c r="O9" s="21" t="b">
        <v>0</v>
      </c>
      <c r="P9" s="21" t="b">
        <v>0</v>
      </c>
      <c r="Q9" s="21" t="b">
        <v>1</v>
      </c>
      <c r="R9" s="21" t="b">
        <v>0</v>
      </c>
      <c r="S9" s="21" t="b">
        <v>0</v>
      </c>
      <c r="T9" s="21" t="b">
        <v>0</v>
      </c>
      <c r="U9" s="21" t="b">
        <v>0</v>
      </c>
      <c r="V9" s="21" t="b">
        <v>0</v>
      </c>
      <c r="W9" s="21" t="b">
        <v>0</v>
      </c>
      <c r="X9" s="21" t="b">
        <v>0</v>
      </c>
      <c r="Y9" s="21" t="b">
        <v>0</v>
      </c>
      <c r="Z9" s="21" t="b">
        <v>0</v>
      </c>
      <c r="AA9" s="21" t="b">
        <v>0</v>
      </c>
      <c r="AB9" s="21" t="b">
        <v>0</v>
      </c>
      <c r="AC9" s="21" t="b">
        <v>0</v>
      </c>
    </row>
    <row r="10">
      <c r="A10" s="26" t="s">
        <v>57</v>
      </c>
      <c r="B10" s="12">
        <f t="shared" si="1"/>
        <v>0.2307692308</v>
      </c>
      <c r="C10" s="12">
        <f t="shared" si="2"/>
        <v>0.12</v>
      </c>
      <c r="E10" s="21" t="b">
        <v>1</v>
      </c>
      <c r="F10" s="21" t="b">
        <v>0</v>
      </c>
      <c r="G10" s="21" t="b">
        <v>0</v>
      </c>
      <c r="H10" s="21" t="b">
        <v>0</v>
      </c>
      <c r="I10" s="21" t="b">
        <v>0</v>
      </c>
      <c r="J10" s="21" t="b">
        <v>0</v>
      </c>
      <c r="K10" s="21" t="b">
        <v>0</v>
      </c>
      <c r="L10" s="21" t="b">
        <v>0</v>
      </c>
      <c r="M10" s="21" t="b">
        <v>0</v>
      </c>
      <c r="N10" s="21" t="b">
        <v>0</v>
      </c>
      <c r="O10" s="21" t="b">
        <v>1</v>
      </c>
      <c r="P10" s="21" t="b">
        <v>0</v>
      </c>
      <c r="Q10" s="21" t="b">
        <v>1</v>
      </c>
      <c r="R10" s="21" t="b">
        <v>0</v>
      </c>
      <c r="S10" s="21" t="b">
        <v>0</v>
      </c>
      <c r="T10" s="21" t="b">
        <v>0</v>
      </c>
      <c r="U10" s="21" t="b">
        <v>0</v>
      </c>
      <c r="V10" s="21" t="b">
        <v>0</v>
      </c>
      <c r="W10" s="21" t="b">
        <v>0</v>
      </c>
      <c r="X10" s="21" t="b">
        <v>0</v>
      </c>
      <c r="Y10" s="21" t="b">
        <v>0</v>
      </c>
      <c r="Z10" s="21" t="b">
        <v>0</v>
      </c>
      <c r="AA10" s="21" t="b">
        <v>0</v>
      </c>
      <c r="AB10" s="21" t="b">
        <v>0</v>
      </c>
      <c r="AC10" s="21" t="b">
        <v>0</v>
      </c>
    </row>
    <row r="11">
      <c r="A11" s="39" t="s">
        <v>58</v>
      </c>
      <c r="B11" s="12">
        <f t="shared" si="1"/>
        <v>0.1538461538</v>
      </c>
      <c r="C11" s="12">
        <f t="shared" si="2"/>
        <v>0.08</v>
      </c>
      <c r="E11" s="21" t="b">
        <v>0</v>
      </c>
      <c r="F11" s="21" t="b">
        <v>0</v>
      </c>
      <c r="G11" s="21" t="b">
        <v>0</v>
      </c>
      <c r="H11" s="21" t="b">
        <v>0</v>
      </c>
      <c r="I11" s="21" t="b">
        <v>0</v>
      </c>
      <c r="J11" s="21" t="b">
        <v>0</v>
      </c>
      <c r="K11" s="21" t="b">
        <v>0</v>
      </c>
      <c r="L11" s="21" t="b">
        <v>0</v>
      </c>
      <c r="M11" s="21" t="b">
        <v>0</v>
      </c>
      <c r="N11" s="21" t="b">
        <v>0</v>
      </c>
      <c r="O11" s="21" t="b">
        <v>1</v>
      </c>
      <c r="P11" s="21" t="b">
        <v>0</v>
      </c>
      <c r="Q11" s="21" t="b">
        <v>1</v>
      </c>
      <c r="R11" s="21" t="b">
        <v>0</v>
      </c>
      <c r="S11" s="21" t="b">
        <v>0</v>
      </c>
      <c r="T11" s="21" t="b">
        <v>0</v>
      </c>
      <c r="U11" s="21" t="b">
        <v>0</v>
      </c>
      <c r="V11" s="21" t="b">
        <v>0</v>
      </c>
      <c r="W11" s="21" t="b">
        <v>0</v>
      </c>
      <c r="X11" s="21" t="b">
        <v>0</v>
      </c>
      <c r="Y11" s="21" t="b">
        <v>0</v>
      </c>
      <c r="Z11" s="21" t="b">
        <v>0</v>
      </c>
      <c r="AA11" s="21" t="b">
        <v>0</v>
      </c>
      <c r="AB11" s="21" t="b">
        <v>0</v>
      </c>
      <c r="AC11" s="21" t="b">
        <v>0</v>
      </c>
    </row>
    <row r="12">
      <c r="A12" s="26" t="s">
        <v>59</v>
      </c>
      <c r="B12" s="12">
        <f t="shared" si="1"/>
        <v>0.5384615385</v>
      </c>
      <c r="C12" s="12">
        <f t="shared" si="2"/>
        <v>0.32</v>
      </c>
      <c r="E12" s="21" t="b">
        <v>0</v>
      </c>
      <c r="F12" s="21" t="b">
        <v>1</v>
      </c>
      <c r="G12" s="21" t="b">
        <v>1</v>
      </c>
      <c r="H12" s="21" t="b">
        <v>0</v>
      </c>
      <c r="I12" s="21" t="b">
        <v>0</v>
      </c>
      <c r="J12" s="21" t="b">
        <v>0</v>
      </c>
      <c r="K12" s="21" t="b">
        <v>0</v>
      </c>
      <c r="L12" s="21" t="b">
        <v>0</v>
      </c>
      <c r="M12" s="21" t="b">
        <v>1</v>
      </c>
      <c r="N12" s="21" t="b">
        <v>1</v>
      </c>
      <c r="O12" s="21" t="b">
        <v>1</v>
      </c>
      <c r="P12" s="21" t="b">
        <v>1</v>
      </c>
      <c r="Q12" s="21" t="b">
        <v>1</v>
      </c>
      <c r="R12" s="21" t="b">
        <v>0</v>
      </c>
      <c r="S12" s="21" t="b">
        <v>1</v>
      </c>
      <c r="T12" s="21" t="b">
        <v>0</v>
      </c>
      <c r="U12" s="21" t="b">
        <v>0</v>
      </c>
      <c r="V12" s="21" t="b">
        <v>0</v>
      </c>
      <c r="W12" s="21" t="b">
        <v>0</v>
      </c>
      <c r="X12" s="21" t="b">
        <v>0</v>
      </c>
      <c r="Y12" s="21" t="b">
        <v>0</v>
      </c>
      <c r="Z12" s="21" t="b">
        <v>0</v>
      </c>
      <c r="AA12" s="21" t="b">
        <v>0</v>
      </c>
      <c r="AB12" s="21" t="b">
        <v>0</v>
      </c>
      <c r="AC12" s="21" t="b">
        <v>0</v>
      </c>
    </row>
    <row r="13">
      <c r="A13" s="26" t="s">
        <v>60</v>
      </c>
      <c r="B13" s="12">
        <f t="shared" si="1"/>
        <v>0.07692307692</v>
      </c>
      <c r="C13" s="12">
        <f t="shared" si="2"/>
        <v>0.04</v>
      </c>
      <c r="E13" s="21" t="b">
        <v>0</v>
      </c>
      <c r="F13" s="21" t="b">
        <v>0</v>
      </c>
      <c r="G13" s="21" t="b">
        <v>0</v>
      </c>
      <c r="H13" s="21" t="b">
        <v>0</v>
      </c>
      <c r="I13" s="21" t="b">
        <v>0</v>
      </c>
      <c r="J13" s="21" t="b">
        <v>0</v>
      </c>
      <c r="K13" s="21" t="b">
        <v>0</v>
      </c>
      <c r="L13" s="21" t="b">
        <v>0</v>
      </c>
      <c r="M13" s="21" t="b">
        <v>0</v>
      </c>
      <c r="N13" s="21" t="b">
        <v>0</v>
      </c>
      <c r="O13" s="21" t="b">
        <v>1</v>
      </c>
      <c r="P13" s="21" t="b">
        <v>0</v>
      </c>
      <c r="Q13" s="21" t="b">
        <v>0</v>
      </c>
      <c r="R13" s="21" t="b">
        <v>0</v>
      </c>
      <c r="S13" s="21" t="b">
        <v>0</v>
      </c>
      <c r="T13" s="21" t="b">
        <v>0</v>
      </c>
      <c r="U13" s="21" t="b">
        <v>0</v>
      </c>
      <c r="V13" s="21" t="b">
        <v>0</v>
      </c>
      <c r="W13" s="21" t="b">
        <v>0</v>
      </c>
      <c r="X13" s="21" t="b">
        <v>0</v>
      </c>
      <c r="Y13" s="21" t="b">
        <v>0</v>
      </c>
      <c r="Z13" s="21" t="b">
        <v>0</v>
      </c>
      <c r="AA13" s="21" t="b">
        <v>0</v>
      </c>
      <c r="AB13" s="21" t="b">
        <v>0</v>
      </c>
      <c r="AC13" s="21" t="b">
        <v>0</v>
      </c>
    </row>
    <row r="14">
      <c r="A14" s="26" t="s">
        <v>61</v>
      </c>
      <c r="B14" s="12">
        <f t="shared" si="1"/>
        <v>0.4615384615</v>
      </c>
      <c r="C14" s="12">
        <f t="shared" si="2"/>
        <v>0.28</v>
      </c>
      <c r="E14" s="21" t="b">
        <v>0</v>
      </c>
      <c r="F14" s="21" t="b">
        <v>1</v>
      </c>
      <c r="G14" s="21" t="b">
        <v>1</v>
      </c>
      <c r="H14" s="21" t="b">
        <v>0</v>
      </c>
      <c r="I14" s="21" t="b">
        <v>0</v>
      </c>
      <c r="J14" s="21" t="b">
        <v>0</v>
      </c>
      <c r="K14" s="21" t="b">
        <v>0</v>
      </c>
      <c r="L14" s="21" t="b">
        <v>0</v>
      </c>
      <c r="M14" s="21" t="b">
        <v>0</v>
      </c>
      <c r="N14" s="21" t="b">
        <v>1</v>
      </c>
      <c r="O14" s="21" t="b">
        <v>1</v>
      </c>
      <c r="P14" s="21" t="b">
        <v>1</v>
      </c>
      <c r="Q14" s="21" t="b">
        <v>1</v>
      </c>
      <c r="R14" s="21" t="b">
        <v>0</v>
      </c>
      <c r="S14" s="21" t="b">
        <v>1</v>
      </c>
      <c r="T14" s="21" t="b">
        <v>0</v>
      </c>
      <c r="U14" s="21" t="b">
        <v>0</v>
      </c>
      <c r="V14" s="21" t="b">
        <v>0</v>
      </c>
      <c r="W14" s="21" t="b">
        <v>0</v>
      </c>
      <c r="X14" s="21" t="b">
        <v>0</v>
      </c>
      <c r="Y14" s="21" t="b">
        <v>0</v>
      </c>
      <c r="Z14" s="21" t="b">
        <v>0</v>
      </c>
      <c r="AA14" s="21" t="b">
        <v>0</v>
      </c>
      <c r="AB14" s="21" t="b">
        <v>0</v>
      </c>
      <c r="AC14" s="21" t="b">
        <v>0</v>
      </c>
    </row>
    <row r="15">
      <c r="A15" s="26" t="s">
        <v>62</v>
      </c>
      <c r="B15" s="12">
        <f t="shared" si="1"/>
        <v>0.3846153846</v>
      </c>
      <c r="C15" s="12">
        <f t="shared" si="2"/>
        <v>0.2</v>
      </c>
      <c r="E15" s="21" t="b">
        <v>0</v>
      </c>
      <c r="F15" s="21" t="b">
        <v>1</v>
      </c>
      <c r="G15" s="21" t="b">
        <v>1</v>
      </c>
      <c r="H15" s="21" t="b">
        <v>0</v>
      </c>
      <c r="I15" s="21" t="b">
        <v>0</v>
      </c>
      <c r="J15" s="21" t="b">
        <v>0</v>
      </c>
      <c r="K15" s="21" t="b">
        <v>0</v>
      </c>
      <c r="L15" s="21" t="b">
        <v>0</v>
      </c>
      <c r="M15" s="21" t="b">
        <v>1</v>
      </c>
      <c r="N15" s="21" t="b">
        <v>0</v>
      </c>
      <c r="O15" s="21" t="b">
        <v>1</v>
      </c>
      <c r="P15" s="21" t="b">
        <v>0</v>
      </c>
      <c r="Q15" s="21" t="b">
        <v>1</v>
      </c>
      <c r="R15" s="21" t="b">
        <v>0</v>
      </c>
      <c r="S15" s="21" t="b">
        <v>0</v>
      </c>
      <c r="T15" s="21" t="b">
        <v>0</v>
      </c>
      <c r="U15" s="21" t="b">
        <v>0</v>
      </c>
      <c r="V15" s="21" t="b">
        <v>0</v>
      </c>
      <c r="W15" s="21" t="b">
        <v>0</v>
      </c>
      <c r="X15" s="21" t="b">
        <v>0</v>
      </c>
      <c r="Y15" s="21" t="b">
        <v>0</v>
      </c>
      <c r="Z15" s="21" t="b">
        <v>0</v>
      </c>
      <c r="AA15" s="21" t="b">
        <v>0</v>
      </c>
      <c r="AB15" s="21" t="b">
        <v>0</v>
      </c>
      <c r="AC15" s="21" t="b">
        <v>0</v>
      </c>
    </row>
    <row r="16">
      <c r="A16" s="26" t="s">
        <v>63</v>
      </c>
      <c r="B16" s="12">
        <f t="shared" si="1"/>
        <v>0.3076923077</v>
      </c>
      <c r="C16" s="12">
        <f t="shared" si="2"/>
        <v>0.16</v>
      </c>
      <c r="E16" s="21" t="b">
        <v>1</v>
      </c>
      <c r="F16" s="21" t="b">
        <v>1</v>
      </c>
      <c r="G16" s="21" t="b">
        <v>0</v>
      </c>
      <c r="H16" s="21" t="b">
        <v>0</v>
      </c>
      <c r="I16" s="21" t="b">
        <v>0</v>
      </c>
      <c r="J16" s="21" t="b">
        <v>0</v>
      </c>
      <c r="K16" s="21" t="b">
        <v>0</v>
      </c>
      <c r="L16" s="21" t="b">
        <v>0</v>
      </c>
      <c r="M16" s="21" t="b">
        <v>0</v>
      </c>
      <c r="N16" s="21" t="b">
        <v>0</v>
      </c>
      <c r="O16" s="21" t="b">
        <v>1</v>
      </c>
      <c r="P16" s="21" t="b">
        <v>1</v>
      </c>
      <c r="Q16" s="21" t="b">
        <v>0</v>
      </c>
      <c r="R16" s="21" t="b">
        <v>0</v>
      </c>
      <c r="S16" s="21" t="b">
        <v>0</v>
      </c>
      <c r="T16" s="21" t="b">
        <v>0</v>
      </c>
      <c r="U16" s="21" t="b">
        <v>0</v>
      </c>
      <c r="V16" s="21" t="b">
        <v>0</v>
      </c>
      <c r="W16" s="21" t="b">
        <v>0</v>
      </c>
      <c r="X16" s="21" t="b">
        <v>0</v>
      </c>
      <c r="Y16" s="21" t="b">
        <v>0</v>
      </c>
      <c r="Z16" s="21" t="b">
        <v>0</v>
      </c>
      <c r="AA16" s="21" t="b">
        <v>0</v>
      </c>
      <c r="AB16" s="21" t="b">
        <v>0</v>
      </c>
      <c r="AC16" s="21" t="b">
        <v>0</v>
      </c>
    </row>
    <row r="17">
      <c r="A17" s="10" t="s">
        <v>64</v>
      </c>
      <c r="B17" s="10">
        <v>13.0</v>
      </c>
      <c r="C17" s="10">
        <v>25.0</v>
      </c>
      <c r="E17" s="42">
        <f t="shared" ref="E17:AC17" si="3">COUNTIF(E2:E16, TRUE)</f>
        <v>3</v>
      </c>
      <c r="F17" s="42">
        <f t="shared" si="3"/>
        <v>9</v>
      </c>
      <c r="G17" s="42">
        <f t="shared" si="3"/>
        <v>8</v>
      </c>
      <c r="H17" s="42">
        <f t="shared" si="3"/>
        <v>0</v>
      </c>
      <c r="I17" s="42">
        <f t="shared" si="3"/>
        <v>0</v>
      </c>
      <c r="J17" s="42">
        <f t="shared" si="3"/>
        <v>0</v>
      </c>
      <c r="K17" s="42">
        <f t="shared" si="3"/>
        <v>0</v>
      </c>
      <c r="L17" s="42">
        <f t="shared" si="3"/>
        <v>0</v>
      </c>
      <c r="M17" s="42">
        <f t="shared" si="3"/>
        <v>4</v>
      </c>
      <c r="N17" s="42">
        <f t="shared" si="3"/>
        <v>4</v>
      </c>
      <c r="O17" s="42">
        <f t="shared" si="3"/>
        <v>14</v>
      </c>
      <c r="P17" s="42">
        <f t="shared" si="3"/>
        <v>6</v>
      </c>
      <c r="Q17" s="42">
        <f t="shared" si="3"/>
        <v>10</v>
      </c>
      <c r="R17" s="42">
        <f t="shared" si="3"/>
        <v>0</v>
      </c>
      <c r="S17" s="42">
        <f t="shared" si="3"/>
        <v>8</v>
      </c>
      <c r="T17" s="42">
        <f t="shared" si="3"/>
        <v>0</v>
      </c>
      <c r="U17" s="42">
        <f t="shared" si="3"/>
        <v>0</v>
      </c>
      <c r="V17" s="42">
        <f t="shared" si="3"/>
        <v>0</v>
      </c>
      <c r="W17" s="42">
        <f t="shared" si="3"/>
        <v>0</v>
      </c>
      <c r="X17" s="42">
        <f t="shared" si="3"/>
        <v>0</v>
      </c>
      <c r="Y17" s="42">
        <f t="shared" si="3"/>
        <v>0</v>
      </c>
      <c r="Z17" s="42">
        <f t="shared" si="3"/>
        <v>0</v>
      </c>
      <c r="AA17" s="42">
        <f t="shared" si="3"/>
        <v>0</v>
      </c>
      <c r="AB17" s="42">
        <f t="shared" si="3"/>
        <v>0</v>
      </c>
      <c r="AC17" s="42">
        <f t="shared" si="3"/>
        <v>0</v>
      </c>
    </row>
    <row r="20">
      <c r="E20" s="32" t="s">
        <v>65</v>
      </c>
    </row>
    <row r="21">
      <c r="B21" s="48"/>
      <c r="E21" s="34" t="s">
        <v>66</v>
      </c>
    </row>
    <row r="22">
      <c r="A22" s="48"/>
      <c r="B22" s="48"/>
      <c r="E22" s="36" t="s">
        <v>28</v>
      </c>
    </row>
    <row r="23">
      <c r="A23" s="10"/>
      <c r="E23" s="37" t="s">
        <v>68</v>
      </c>
    </row>
  </sheetData>
  <conditionalFormatting sqref="E2:AC16">
    <cfRule type="cellIs" dxfId="0" priority="1" operator="equal">
      <formula>"TRUE"</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4" width="7.38"/>
  </cols>
  <sheetData>
    <row r="1">
      <c r="B1" s="10" t="s">
        <v>29</v>
      </c>
      <c r="C1" s="10" t="s">
        <v>30</v>
      </c>
      <c r="D1" s="10" t="s">
        <v>31</v>
      </c>
      <c r="E1" s="21" t="s">
        <v>126</v>
      </c>
      <c r="F1" s="21" t="s">
        <v>127</v>
      </c>
      <c r="G1" s="21" t="s">
        <v>128</v>
      </c>
      <c r="H1" s="21" t="s">
        <v>129</v>
      </c>
      <c r="I1" s="21" t="s">
        <v>130</v>
      </c>
      <c r="J1" s="21" t="s">
        <v>131</v>
      </c>
      <c r="K1" s="21" t="s">
        <v>132</v>
      </c>
      <c r="L1" s="21" t="s">
        <v>133</v>
      </c>
      <c r="M1" s="21" t="s">
        <v>134</v>
      </c>
      <c r="N1" s="21" t="s">
        <v>135</v>
      </c>
      <c r="O1" s="32" t="s">
        <v>136</v>
      </c>
      <c r="P1" s="32" t="s">
        <v>136</v>
      </c>
      <c r="Q1" s="32" t="s">
        <v>136</v>
      </c>
      <c r="R1" s="23" t="s">
        <v>41</v>
      </c>
      <c r="S1" s="23" t="s">
        <v>41</v>
      </c>
      <c r="T1" s="23" t="s">
        <v>41</v>
      </c>
      <c r="U1" s="23" t="s">
        <v>41</v>
      </c>
      <c r="V1" s="25" t="s">
        <v>137</v>
      </c>
      <c r="W1" s="25" t="s">
        <v>48</v>
      </c>
      <c r="X1" s="24" t="s">
        <v>138</v>
      </c>
      <c r="Y1" s="24" t="s">
        <v>139</v>
      </c>
      <c r="Z1" s="24" t="s">
        <v>140</v>
      </c>
      <c r="AA1" s="24" t="s">
        <v>141</v>
      </c>
      <c r="AB1" s="24" t="s">
        <v>142</v>
      </c>
    </row>
    <row r="2">
      <c r="A2" s="31" t="s">
        <v>49</v>
      </c>
      <c r="B2" s="12">
        <f t="shared" ref="B2:B16" si="1">COUNTIF(E2:U2, TRUE) / COUNTA(E2:U2)</f>
        <v>0.5294117647</v>
      </c>
      <c r="C2" s="12">
        <f t="shared" ref="C2:C16" si="2">COUNTIF(E2:AB2, TRUE) / COUNTA(E2:AB2)</f>
        <v>0.4166666667</v>
      </c>
      <c r="D2" s="12"/>
      <c r="E2" s="21" t="b">
        <v>1</v>
      </c>
      <c r="F2" s="21" t="b">
        <v>0</v>
      </c>
      <c r="G2" s="21" t="b">
        <v>0</v>
      </c>
      <c r="H2" s="21" t="b">
        <v>1</v>
      </c>
      <c r="I2" s="21" t="b">
        <v>0</v>
      </c>
      <c r="J2" s="21" t="b">
        <v>0</v>
      </c>
      <c r="K2" s="21" t="b">
        <v>1</v>
      </c>
      <c r="L2" s="21" t="b">
        <v>0</v>
      </c>
      <c r="M2" s="21" t="b">
        <v>1</v>
      </c>
      <c r="N2" s="21" t="b">
        <v>1</v>
      </c>
      <c r="O2" s="21" t="b">
        <v>0</v>
      </c>
      <c r="P2" s="21" t="b">
        <v>0</v>
      </c>
      <c r="Q2" s="21" t="b">
        <v>0</v>
      </c>
      <c r="R2" s="21" t="b">
        <v>1</v>
      </c>
      <c r="S2" s="21" t="b">
        <v>1</v>
      </c>
      <c r="T2" s="21" t="b">
        <v>1</v>
      </c>
      <c r="U2" s="21" t="b">
        <v>1</v>
      </c>
      <c r="V2" s="21" t="b">
        <v>1</v>
      </c>
      <c r="W2" s="21" t="b">
        <v>0</v>
      </c>
      <c r="X2" s="21" t="b">
        <v>0</v>
      </c>
      <c r="Y2" s="21" t="b">
        <v>0</v>
      </c>
      <c r="Z2" s="21" t="b">
        <v>0</v>
      </c>
      <c r="AA2" s="21" t="b">
        <v>0</v>
      </c>
      <c r="AB2" s="21" t="b">
        <v>0</v>
      </c>
    </row>
    <row r="3">
      <c r="A3" s="31" t="s">
        <v>50</v>
      </c>
      <c r="B3" s="12">
        <f t="shared" si="1"/>
        <v>0.4705882353</v>
      </c>
      <c r="C3" s="12">
        <f t="shared" si="2"/>
        <v>0.375</v>
      </c>
      <c r="D3" s="12"/>
      <c r="E3" s="21" t="b">
        <v>0</v>
      </c>
      <c r="F3" s="21" t="b">
        <v>0</v>
      </c>
      <c r="G3" s="21" t="b">
        <v>0</v>
      </c>
      <c r="H3" s="21" t="b">
        <v>0</v>
      </c>
      <c r="I3" s="21" t="b">
        <v>0</v>
      </c>
      <c r="J3" s="21" t="b">
        <v>0</v>
      </c>
      <c r="K3" s="21" t="b">
        <v>1</v>
      </c>
      <c r="L3" s="21" t="b">
        <v>1</v>
      </c>
      <c r="M3" s="21" t="b">
        <v>1</v>
      </c>
      <c r="N3" s="21" t="b">
        <v>1</v>
      </c>
      <c r="O3" s="21" t="b">
        <v>0</v>
      </c>
      <c r="P3" s="21" t="b">
        <v>0</v>
      </c>
      <c r="Q3" s="21" t="b">
        <v>0</v>
      </c>
      <c r="R3" s="21" t="b">
        <v>1</v>
      </c>
      <c r="S3" s="21" t="b">
        <v>1</v>
      </c>
      <c r="T3" s="21" t="b">
        <v>1</v>
      </c>
      <c r="U3" s="21" t="b">
        <v>1</v>
      </c>
      <c r="V3" s="21" t="b">
        <v>1</v>
      </c>
      <c r="W3" s="21" t="b">
        <v>0</v>
      </c>
      <c r="X3" s="21" t="b">
        <v>0</v>
      </c>
      <c r="Y3" s="21" t="b">
        <v>0</v>
      </c>
      <c r="Z3" s="21" t="b">
        <v>0</v>
      </c>
      <c r="AA3" s="21" t="b">
        <v>0</v>
      </c>
      <c r="AB3" s="21" t="b">
        <v>0</v>
      </c>
    </row>
    <row r="4">
      <c r="A4" s="31" t="s">
        <v>51</v>
      </c>
      <c r="B4" s="12">
        <f t="shared" si="1"/>
        <v>0.7647058824</v>
      </c>
      <c r="C4" s="12">
        <f t="shared" si="2"/>
        <v>0.625</v>
      </c>
      <c r="D4" s="12"/>
      <c r="E4" s="21" t="b">
        <v>0</v>
      </c>
      <c r="F4" s="21" t="b">
        <v>1</v>
      </c>
      <c r="G4" s="21" t="b">
        <v>1</v>
      </c>
      <c r="H4" s="21" t="b">
        <v>1</v>
      </c>
      <c r="I4" s="21" t="b">
        <v>0</v>
      </c>
      <c r="J4" s="21" t="b">
        <v>0</v>
      </c>
      <c r="K4" s="21" t="b">
        <v>1</v>
      </c>
      <c r="L4" s="21" t="b">
        <v>0</v>
      </c>
      <c r="M4" s="21" t="b">
        <v>1</v>
      </c>
      <c r="N4" s="21" t="b">
        <v>1</v>
      </c>
      <c r="O4" s="21" t="b">
        <v>1</v>
      </c>
      <c r="P4" s="21" t="b">
        <v>1</v>
      </c>
      <c r="Q4" s="21" t="b">
        <v>1</v>
      </c>
      <c r="R4" s="21" t="b">
        <v>1</v>
      </c>
      <c r="S4" s="21" t="b">
        <v>1</v>
      </c>
      <c r="T4" s="21" t="b">
        <v>1</v>
      </c>
      <c r="U4" s="21" t="b">
        <v>1</v>
      </c>
      <c r="V4" s="21" t="b">
        <v>1</v>
      </c>
      <c r="W4" s="21" t="b">
        <v>1</v>
      </c>
      <c r="X4" s="21" t="b">
        <v>0</v>
      </c>
      <c r="Y4" s="21" t="b">
        <v>0</v>
      </c>
      <c r="Z4" s="21" t="b">
        <v>0</v>
      </c>
      <c r="AA4" s="21" t="b">
        <v>0</v>
      </c>
      <c r="AB4" s="21" t="b">
        <v>0</v>
      </c>
    </row>
    <row r="5">
      <c r="A5" s="31" t="s">
        <v>52</v>
      </c>
      <c r="B5" s="12">
        <f t="shared" si="1"/>
        <v>0.7647058824</v>
      </c>
      <c r="C5" s="12">
        <f t="shared" si="2"/>
        <v>0.5833333333</v>
      </c>
      <c r="D5" s="12"/>
      <c r="E5" s="21" t="b">
        <v>0</v>
      </c>
      <c r="F5" s="21" t="b">
        <v>1</v>
      </c>
      <c r="G5" s="21" t="b">
        <v>1</v>
      </c>
      <c r="H5" s="21" t="b">
        <v>1</v>
      </c>
      <c r="I5" s="21" t="b">
        <v>0</v>
      </c>
      <c r="J5" s="21" t="b">
        <v>0</v>
      </c>
      <c r="K5" s="21" t="b">
        <v>1</v>
      </c>
      <c r="L5" s="21" t="b">
        <v>0</v>
      </c>
      <c r="M5" s="21" t="b">
        <v>1</v>
      </c>
      <c r="N5" s="21" t="b">
        <v>1</v>
      </c>
      <c r="O5" s="21" t="b">
        <v>1</v>
      </c>
      <c r="P5" s="21" t="b">
        <v>1</v>
      </c>
      <c r="Q5" s="21" t="b">
        <v>1</v>
      </c>
      <c r="R5" s="21" t="b">
        <v>1</v>
      </c>
      <c r="S5" s="21" t="b">
        <v>1</v>
      </c>
      <c r="T5" s="21" t="b">
        <v>1</v>
      </c>
      <c r="U5" s="21" t="b">
        <v>1</v>
      </c>
      <c r="V5" s="21" t="b">
        <v>1</v>
      </c>
      <c r="W5" s="21" t="b">
        <v>0</v>
      </c>
      <c r="X5" s="21" t="b">
        <v>0</v>
      </c>
      <c r="Y5" s="21" t="b">
        <v>0</v>
      </c>
      <c r="Z5" s="21" t="b">
        <v>0</v>
      </c>
      <c r="AA5" s="21" t="b">
        <v>0</v>
      </c>
      <c r="AB5" s="21" t="b">
        <v>0</v>
      </c>
    </row>
    <row r="6">
      <c r="A6" s="31" t="s">
        <v>53</v>
      </c>
      <c r="B6" s="12">
        <f t="shared" si="1"/>
        <v>0.4117647059</v>
      </c>
      <c r="C6" s="12">
        <f t="shared" si="2"/>
        <v>0.3333333333</v>
      </c>
      <c r="D6" s="12"/>
      <c r="E6" s="21" t="b">
        <v>0</v>
      </c>
      <c r="F6" s="21" t="b">
        <v>0</v>
      </c>
      <c r="G6" s="21" t="b">
        <v>0</v>
      </c>
      <c r="H6" s="21" t="b">
        <v>0</v>
      </c>
      <c r="I6" s="21" t="b">
        <v>0</v>
      </c>
      <c r="J6" s="21" t="b">
        <v>0</v>
      </c>
      <c r="K6" s="21" t="b">
        <v>1</v>
      </c>
      <c r="L6" s="21" t="b">
        <v>0</v>
      </c>
      <c r="M6" s="21" t="b">
        <v>1</v>
      </c>
      <c r="N6" s="21" t="b">
        <v>1</v>
      </c>
      <c r="O6" s="21" t="b">
        <v>0</v>
      </c>
      <c r="P6" s="21" t="b">
        <v>0</v>
      </c>
      <c r="Q6" s="21" t="b">
        <v>0</v>
      </c>
      <c r="R6" s="21" t="b">
        <v>1</v>
      </c>
      <c r="S6" s="21" t="b">
        <v>1</v>
      </c>
      <c r="T6" s="21" t="b">
        <v>1</v>
      </c>
      <c r="U6" s="21" t="b">
        <v>1</v>
      </c>
      <c r="V6" s="21" t="b">
        <v>1</v>
      </c>
      <c r="W6" s="21" t="b">
        <v>0</v>
      </c>
      <c r="X6" s="21" t="b">
        <v>0</v>
      </c>
      <c r="Y6" s="21" t="b">
        <v>0</v>
      </c>
      <c r="Z6" s="21" t="b">
        <v>0</v>
      </c>
      <c r="AA6" s="21" t="b">
        <v>0</v>
      </c>
      <c r="AB6" s="21" t="b">
        <v>0</v>
      </c>
    </row>
    <row r="7">
      <c r="A7" s="31" t="s">
        <v>54</v>
      </c>
      <c r="B7" s="12">
        <f t="shared" si="1"/>
        <v>0.4117647059</v>
      </c>
      <c r="C7" s="12">
        <f t="shared" si="2"/>
        <v>0.3333333333</v>
      </c>
      <c r="D7" s="12"/>
      <c r="E7" s="21" t="b">
        <v>0</v>
      </c>
      <c r="F7" s="21" t="b">
        <v>0</v>
      </c>
      <c r="G7" s="21" t="b">
        <v>0</v>
      </c>
      <c r="H7" s="21" t="b">
        <v>0</v>
      </c>
      <c r="I7" s="21" t="b">
        <v>0</v>
      </c>
      <c r="J7" s="21" t="b">
        <v>0</v>
      </c>
      <c r="K7" s="21" t="b">
        <v>1</v>
      </c>
      <c r="L7" s="21" t="b">
        <v>0</v>
      </c>
      <c r="M7" s="21" t="b">
        <v>1</v>
      </c>
      <c r="N7" s="21" t="b">
        <v>1</v>
      </c>
      <c r="O7" s="21" t="b">
        <v>0</v>
      </c>
      <c r="P7" s="21" t="b">
        <v>0</v>
      </c>
      <c r="Q7" s="21" t="b">
        <v>0</v>
      </c>
      <c r="R7" s="21" t="b">
        <v>1</v>
      </c>
      <c r="S7" s="21" t="b">
        <v>1</v>
      </c>
      <c r="T7" s="21" t="b">
        <v>1</v>
      </c>
      <c r="U7" s="21" t="b">
        <v>1</v>
      </c>
      <c r="V7" s="21" t="b">
        <v>1</v>
      </c>
      <c r="W7" s="21" t="b">
        <v>0</v>
      </c>
      <c r="X7" s="21" t="b">
        <v>0</v>
      </c>
      <c r="Y7" s="21" t="b">
        <v>0</v>
      </c>
      <c r="Z7" s="21" t="b">
        <v>0</v>
      </c>
      <c r="AA7" s="21" t="b">
        <v>0</v>
      </c>
      <c r="AB7" s="21" t="b">
        <v>0</v>
      </c>
    </row>
    <row r="8">
      <c r="A8" s="31" t="s">
        <v>55</v>
      </c>
      <c r="B8" s="12">
        <f t="shared" si="1"/>
        <v>0.4117647059</v>
      </c>
      <c r="C8" s="12">
        <f t="shared" si="2"/>
        <v>0.2916666667</v>
      </c>
      <c r="D8" s="12"/>
      <c r="E8" s="21" t="b">
        <v>0</v>
      </c>
      <c r="F8" s="21" t="b">
        <v>0</v>
      </c>
      <c r="G8" s="21" t="b">
        <v>0</v>
      </c>
      <c r="H8" s="21" t="b">
        <v>0</v>
      </c>
      <c r="I8" s="21" t="b">
        <v>0</v>
      </c>
      <c r="J8" s="21" t="b">
        <v>0</v>
      </c>
      <c r="K8" s="21" t="b">
        <v>1</v>
      </c>
      <c r="L8" s="21" t="b">
        <v>0</v>
      </c>
      <c r="M8" s="21" t="b">
        <v>1</v>
      </c>
      <c r="N8" s="21" t="b">
        <v>1</v>
      </c>
      <c r="O8" s="21" t="b">
        <v>0</v>
      </c>
      <c r="P8" s="21" t="b">
        <v>0</v>
      </c>
      <c r="Q8" s="21" t="b">
        <v>0</v>
      </c>
      <c r="R8" s="21" t="b">
        <v>1</v>
      </c>
      <c r="S8" s="21" t="b">
        <v>1</v>
      </c>
      <c r="T8" s="21" t="b">
        <v>1</v>
      </c>
      <c r="U8" s="21" t="b">
        <v>1</v>
      </c>
      <c r="V8" s="21" t="b">
        <v>0</v>
      </c>
      <c r="W8" s="21" t="b">
        <v>0</v>
      </c>
      <c r="X8" s="21" t="b">
        <v>0</v>
      </c>
      <c r="Y8" s="21" t="b">
        <v>0</v>
      </c>
      <c r="Z8" s="21" t="b">
        <v>0</v>
      </c>
      <c r="AA8" s="21" t="b">
        <v>0</v>
      </c>
      <c r="AB8" s="21" t="b">
        <v>0</v>
      </c>
    </row>
    <row r="9">
      <c r="A9" s="31" t="s">
        <v>56</v>
      </c>
      <c r="B9" s="12">
        <f t="shared" si="1"/>
        <v>0.7647058824</v>
      </c>
      <c r="C9" s="12">
        <f t="shared" si="2"/>
        <v>0.5833333333</v>
      </c>
      <c r="D9" s="12"/>
      <c r="E9" s="21" t="b">
        <v>1</v>
      </c>
      <c r="F9" s="21" t="b">
        <v>1</v>
      </c>
      <c r="G9" s="21" t="b">
        <v>1</v>
      </c>
      <c r="H9" s="21" t="b">
        <v>0</v>
      </c>
      <c r="I9" s="21" t="b">
        <v>1</v>
      </c>
      <c r="J9" s="21" t="b">
        <v>0</v>
      </c>
      <c r="K9" s="21" t="b">
        <v>1</v>
      </c>
      <c r="L9" s="21" t="b">
        <v>0</v>
      </c>
      <c r="M9" s="21" t="b">
        <v>1</v>
      </c>
      <c r="N9" s="21" t="b">
        <v>1</v>
      </c>
      <c r="O9" s="21" t="b">
        <v>1</v>
      </c>
      <c r="P9" s="21" t="b">
        <v>1</v>
      </c>
      <c r="Q9" s="21" t="b">
        <v>0</v>
      </c>
      <c r="R9" s="21" t="b">
        <v>1</v>
      </c>
      <c r="S9" s="21" t="b">
        <v>1</v>
      </c>
      <c r="T9" s="21" t="b">
        <v>1</v>
      </c>
      <c r="U9" s="21" t="b">
        <v>1</v>
      </c>
      <c r="V9" s="21" t="b">
        <v>1</v>
      </c>
      <c r="W9" s="21" t="b">
        <v>0</v>
      </c>
      <c r="X9" s="21" t="b">
        <v>0</v>
      </c>
      <c r="Y9" s="21" t="b">
        <v>0</v>
      </c>
      <c r="Z9" s="21" t="b">
        <v>0</v>
      </c>
      <c r="AA9" s="21" t="b">
        <v>0</v>
      </c>
      <c r="AB9" s="21" t="b">
        <v>0</v>
      </c>
    </row>
    <row r="10">
      <c r="A10" s="31" t="s">
        <v>57</v>
      </c>
      <c r="B10" s="12">
        <f t="shared" si="1"/>
        <v>0.6470588235</v>
      </c>
      <c r="C10" s="12">
        <f t="shared" si="2"/>
        <v>0.5</v>
      </c>
      <c r="D10" s="12"/>
      <c r="E10" s="21" t="b">
        <v>0</v>
      </c>
      <c r="F10" s="21" t="b">
        <v>1</v>
      </c>
      <c r="G10" s="21" t="b">
        <v>0</v>
      </c>
      <c r="H10" s="21" t="b">
        <v>0</v>
      </c>
      <c r="I10" s="21" t="b">
        <v>0</v>
      </c>
      <c r="J10" s="21" t="b">
        <v>0</v>
      </c>
      <c r="K10" s="21" t="b">
        <v>1</v>
      </c>
      <c r="L10" s="21" t="b">
        <v>0</v>
      </c>
      <c r="M10" s="21" t="b">
        <v>1</v>
      </c>
      <c r="N10" s="21" t="b">
        <v>1</v>
      </c>
      <c r="O10" s="21" t="b">
        <v>1</v>
      </c>
      <c r="P10" s="21" t="b">
        <v>1</v>
      </c>
      <c r="Q10" s="21" t="b">
        <v>1</v>
      </c>
      <c r="R10" s="21" t="b">
        <v>1</v>
      </c>
      <c r="S10" s="21" t="b">
        <v>1</v>
      </c>
      <c r="T10" s="21" t="b">
        <v>1</v>
      </c>
      <c r="U10" s="21" t="b">
        <v>1</v>
      </c>
      <c r="V10" s="21" t="b">
        <v>1</v>
      </c>
      <c r="W10" s="21" t="b">
        <v>0</v>
      </c>
      <c r="X10" s="21" t="b">
        <v>0</v>
      </c>
      <c r="Y10" s="21" t="b">
        <v>0</v>
      </c>
      <c r="Z10" s="21" t="b">
        <v>0</v>
      </c>
      <c r="AA10" s="21" t="b">
        <v>0</v>
      </c>
      <c r="AB10" s="21" t="b">
        <v>0</v>
      </c>
    </row>
    <row r="11">
      <c r="A11" s="31" t="s">
        <v>58</v>
      </c>
      <c r="B11" s="12">
        <f t="shared" si="1"/>
        <v>0.4705882353</v>
      </c>
      <c r="C11" s="12">
        <f t="shared" si="2"/>
        <v>0.375</v>
      </c>
      <c r="D11" s="12"/>
      <c r="E11" s="21" t="b">
        <v>0</v>
      </c>
      <c r="F11" s="21" t="b">
        <v>0</v>
      </c>
      <c r="G11" s="21" t="b">
        <v>0</v>
      </c>
      <c r="H11" s="21" t="b">
        <v>0</v>
      </c>
      <c r="I11" s="21" t="b">
        <v>0</v>
      </c>
      <c r="J11" s="21" t="b">
        <v>0</v>
      </c>
      <c r="K11" s="21" t="b">
        <v>1</v>
      </c>
      <c r="L11" s="21" t="b">
        <v>0</v>
      </c>
      <c r="M11" s="21" t="b">
        <v>1</v>
      </c>
      <c r="N11" s="21" t="b">
        <v>1</v>
      </c>
      <c r="O11" s="21" t="b">
        <v>1</v>
      </c>
      <c r="P11" s="21" t="b">
        <v>0</v>
      </c>
      <c r="Q11" s="21" t="b">
        <v>0</v>
      </c>
      <c r="R11" s="21" t="b">
        <v>1</v>
      </c>
      <c r="S11" s="21" t="b">
        <v>1</v>
      </c>
      <c r="T11" s="21" t="b">
        <v>1</v>
      </c>
      <c r="U11" s="21" t="b">
        <v>1</v>
      </c>
      <c r="V11" s="21" t="b">
        <v>1</v>
      </c>
      <c r="W11" s="21" t="b">
        <v>0</v>
      </c>
      <c r="X11" s="21" t="b">
        <v>0</v>
      </c>
      <c r="Y11" s="21" t="b">
        <v>0</v>
      </c>
      <c r="Z11" s="21" t="b">
        <v>0</v>
      </c>
      <c r="AA11" s="21" t="b">
        <v>0</v>
      </c>
      <c r="AB11" s="21" t="b">
        <v>0</v>
      </c>
    </row>
    <row r="12">
      <c r="A12" s="31" t="s">
        <v>59</v>
      </c>
      <c r="B12" s="12">
        <f t="shared" si="1"/>
        <v>0.8235294118</v>
      </c>
      <c r="C12" s="12">
        <f t="shared" si="2"/>
        <v>0.7083333333</v>
      </c>
      <c r="D12" s="12"/>
      <c r="E12" s="21" t="b">
        <v>0</v>
      </c>
      <c r="F12" s="21" t="b">
        <v>1</v>
      </c>
      <c r="G12" s="21" t="b">
        <v>1</v>
      </c>
      <c r="H12" s="21" t="b">
        <v>1</v>
      </c>
      <c r="I12" s="21" t="b">
        <v>0</v>
      </c>
      <c r="J12" s="21" t="b">
        <v>0</v>
      </c>
      <c r="K12" s="21" t="b">
        <v>1</v>
      </c>
      <c r="L12" s="21" t="b">
        <v>1</v>
      </c>
      <c r="M12" s="21" t="b">
        <v>1</v>
      </c>
      <c r="N12" s="21" t="b">
        <v>1</v>
      </c>
      <c r="O12" s="21" t="b">
        <v>1</v>
      </c>
      <c r="P12" s="21" t="b">
        <v>1</v>
      </c>
      <c r="Q12" s="21" t="b">
        <v>1</v>
      </c>
      <c r="R12" s="21" t="b">
        <v>1</v>
      </c>
      <c r="S12" s="21" t="b">
        <v>1</v>
      </c>
      <c r="T12" s="21" t="b">
        <v>1</v>
      </c>
      <c r="U12" s="21" t="b">
        <v>1</v>
      </c>
      <c r="V12" s="21" t="b">
        <v>1</v>
      </c>
      <c r="W12" s="21" t="b">
        <v>1</v>
      </c>
      <c r="X12" s="21" t="b">
        <v>0</v>
      </c>
      <c r="Y12" s="21" t="b">
        <v>1</v>
      </c>
      <c r="Z12" s="21" t="b">
        <v>0</v>
      </c>
      <c r="AA12" s="21" t="b">
        <v>0</v>
      </c>
      <c r="AB12" s="21" t="b">
        <v>0</v>
      </c>
    </row>
    <row r="13">
      <c r="A13" s="31" t="s">
        <v>60</v>
      </c>
      <c r="B13" s="12">
        <f t="shared" si="1"/>
        <v>0.7647058824</v>
      </c>
      <c r="C13" s="12">
        <f t="shared" si="2"/>
        <v>0.6666666667</v>
      </c>
      <c r="D13" s="12"/>
      <c r="E13" s="21" t="b">
        <v>1</v>
      </c>
      <c r="F13" s="21" t="b">
        <v>1</v>
      </c>
      <c r="G13" s="21" t="b">
        <v>0</v>
      </c>
      <c r="H13" s="21" t="b">
        <v>1</v>
      </c>
      <c r="I13" s="21" t="b">
        <v>0</v>
      </c>
      <c r="J13" s="21" t="b">
        <v>0</v>
      </c>
      <c r="K13" s="21" t="b">
        <v>1</v>
      </c>
      <c r="L13" s="21" t="b">
        <v>0</v>
      </c>
      <c r="M13" s="21" t="b">
        <v>1</v>
      </c>
      <c r="N13" s="21" t="b">
        <v>1</v>
      </c>
      <c r="O13" s="21" t="b">
        <v>1</v>
      </c>
      <c r="P13" s="21" t="b">
        <v>1</v>
      </c>
      <c r="Q13" s="21" t="b">
        <v>1</v>
      </c>
      <c r="R13" s="21" t="b">
        <v>1</v>
      </c>
      <c r="S13" s="21" t="b">
        <v>1</v>
      </c>
      <c r="T13" s="21" t="b">
        <v>1</v>
      </c>
      <c r="U13" s="21" t="b">
        <v>1</v>
      </c>
      <c r="V13" s="21" t="b">
        <v>1</v>
      </c>
      <c r="W13" s="21" t="b">
        <v>1</v>
      </c>
      <c r="X13" s="21" t="b">
        <v>0</v>
      </c>
      <c r="Y13" s="21" t="b">
        <v>1</v>
      </c>
      <c r="Z13" s="21" t="b">
        <v>0</v>
      </c>
      <c r="AA13" s="21" t="b">
        <v>0</v>
      </c>
      <c r="AB13" s="21" t="b">
        <v>0</v>
      </c>
    </row>
    <row r="14">
      <c r="A14" s="31" t="s">
        <v>61</v>
      </c>
      <c r="B14" s="12">
        <f t="shared" si="1"/>
        <v>0.5294117647</v>
      </c>
      <c r="C14" s="12">
        <f t="shared" si="2"/>
        <v>0.375</v>
      </c>
      <c r="D14" s="12"/>
      <c r="E14" s="21" t="b">
        <v>0</v>
      </c>
      <c r="F14" s="21" t="b">
        <v>0</v>
      </c>
      <c r="G14" s="21" t="b">
        <v>0</v>
      </c>
      <c r="H14" s="21" t="b">
        <v>0</v>
      </c>
      <c r="I14" s="21" t="b">
        <v>0</v>
      </c>
      <c r="J14" s="21" t="b">
        <v>0</v>
      </c>
      <c r="K14" s="21" t="b">
        <v>1</v>
      </c>
      <c r="L14" s="21" t="b">
        <v>1</v>
      </c>
      <c r="M14" s="21" t="b">
        <v>1</v>
      </c>
      <c r="N14" s="21" t="b">
        <v>1</v>
      </c>
      <c r="O14" s="21" t="b">
        <v>1</v>
      </c>
      <c r="P14" s="21" t="b">
        <v>0</v>
      </c>
      <c r="Q14" s="21" t="b">
        <v>0</v>
      </c>
      <c r="R14" s="21" t="b">
        <v>1</v>
      </c>
      <c r="S14" s="21" t="b">
        <v>1</v>
      </c>
      <c r="T14" s="21" t="b">
        <v>1</v>
      </c>
      <c r="U14" s="21" t="b">
        <v>1</v>
      </c>
      <c r="V14" s="21" t="b">
        <v>0</v>
      </c>
      <c r="W14" s="21" t="b">
        <v>0</v>
      </c>
      <c r="X14" s="21" t="b">
        <v>0</v>
      </c>
      <c r="Y14" s="21" t="b">
        <v>0</v>
      </c>
      <c r="Z14" s="21" t="b">
        <v>0</v>
      </c>
      <c r="AA14" s="21" t="b">
        <v>0</v>
      </c>
      <c r="AB14" s="21" t="b">
        <v>0</v>
      </c>
    </row>
    <row r="15">
      <c r="A15" s="31" t="s">
        <v>62</v>
      </c>
      <c r="B15" s="12">
        <f t="shared" si="1"/>
        <v>0.5294117647</v>
      </c>
      <c r="C15" s="12">
        <f t="shared" si="2"/>
        <v>0.4166666667</v>
      </c>
      <c r="D15" s="12"/>
      <c r="E15" s="21" t="b">
        <v>0</v>
      </c>
      <c r="F15" s="21" t="b">
        <v>0</v>
      </c>
      <c r="G15" s="21" t="b">
        <v>0</v>
      </c>
      <c r="H15" s="21" t="b">
        <v>0</v>
      </c>
      <c r="I15" s="21" t="b">
        <v>0</v>
      </c>
      <c r="J15" s="21" t="b">
        <v>0</v>
      </c>
      <c r="K15" s="21" t="b">
        <v>1</v>
      </c>
      <c r="L15" s="21" t="b">
        <v>0</v>
      </c>
      <c r="M15" s="21" t="b">
        <v>1</v>
      </c>
      <c r="N15" s="21" t="b">
        <v>1</v>
      </c>
      <c r="O15" s="21" t="b">
        <v>1</v>
      </c>
      <c r="P15" s="21" t="b">
        <v>1</v>
      </c>
      <c r="Q15" s="21" t="b">
        <v>0</v>
      </c>
      <c r="R15" s="21" t="b">
        <v>1</v>
      </c>
      <c r="S15" s="21" t="b">
        <v>1</v>
      </c>
      <c r="T15" s="21" t="b">
        <v>1</v>
      </c>
      <c r="U15" s="21" t="b">
        <v>1</v>
      </c>
      <c r="V15" s="21" t="b">
        <v>1</v>
      </c>
      <c r="W15" s="21" t="b">
        <v>0</v>
      </c>
      <c r="X15" s="21" t="b">
        <v>0</v>
      </c>
      <c r="Y15" s="21" t="b">
        <v>0</v>
      </c>
      <c r="Z15" s="21" t="b">
        <v>0</v>
      </c>
      <c r="AA15" s="21" t="b">
        <v>0</v>
      </c>
      <c r="AB15" s="21" t="b">
        <v>0</v>
      </c>
    </row>
    <row r="16">
      <c r="A16" s="31" t="s">
        <v>63</v>
      </c>
      <c r="B16" s="12">
        <f t="shared" si="1"/>
        <v>0.4705882353</v>
      </c>
      <c r="C16" s="12">
        <f t="shared" si="2"/>
        <v>0.375</v>
      </c>
      <c r="D16" s="12"/>
      <c r="E16" s="21" t="b">
        <v>0</v>
      </c>
      <c r="F16" s="21" t="b">
        <v>0</v>
      </c>
      <c r="G16" s="21" t="b">
        <v>0</v>
      </c>
      <c r="H16" s="21" t="b">
        <v>0</v>
      </c>
      <c r="I16" s="21" t="b">
        <v>0</v>
      </c>
      <c r="J16" s="21" t="b">
        <v>0</v>
      </c>
      <c r="K16" s="21" t="b">
        <v>1</v>
      </c>
      <c r="L16" s="21" t="b">
        <v>1</v>
      </c>
      <c r="M16" s="21" t="b">
        <v>1</v>
      </c>
      <c r="N16" s="21" t="b">
        <v>1</v>
      </c>
      <c r="O16" s="21" t="b">
        <v>0</v>
      </c>
      <c r="P16" s="21" t="b">
        <v>0</v>
      </c>
      <c r="Q16" s="21" t="b">
        <v>0</v>
      </c>
      <c r="R16" s="21" t="b">
        <v>1</v>
      </c>
      <c r="S16" s="21" t="b">
        <v>1</v>
      </c>
      <c r="T16" s="21" t="b">
        <v>1</v>
      </c>
      <c r="U16" s="21" t="b">
        <v>1</v>
      </c>
      <c r="V16" s="21" t="b">
        <v>1</v>
      </c>
      <c r="W16" s="21" t="b">
        <v>0</v>
      </c>
      <c r="X16" s="21" t="b">
        <v>0</v>
      </c>
      <c r="Y16" s="21" t="b">
        <v>0</v>
      </c>
      <c r="Z16" s="21" t="b">
        <v>0</v>
      </c>
      <c r="AA16" s="21" t="b">
        <v>0</v>
      </c>
      <c r="AB16" s="21" t="b">
        <v>0</v>
      </c>
    </row>
    <row r="17">
      <c r="A17" s="10" t="s">
        <v>64</v>
      </c>
      <c r="B17" s="10">
        <v>17.0</v>
      </c>
      <c r="C17" s="10">
        <v>24.0</v>
      </c>
      <c r="E17" s="42">
        <f t="shared" ref="E17:AB17" si="3">COUNTIF(E2:E16, TRUE)</f>
        <v>3</v>
      </c>
      <c r="F17" s="42">
        <f t="shared" si="3"/>
        <v>6</v>
      </c>
      <c r="G17" s="42">
        <f t="shared" si="3"/>
        <v>4</v>
      </c>
      <c r="H17" s="42">
        <f t="shared" si="3"/>
        <v>5</v>
      </c>
      <c r="I17" s="42">
        <f t="shared" si="3"/>
        <v>1</v>
      </c>
      <c r="J17" s="42">
        <f t="shared" si="3"/>
        <v>0</v>
      </c>
      <c r="K17" s="42">
        <f t="shared" si="3"/>
        <v>15</v>
      </c>
      <c r="L17" s="42">
        <f t="shared" si="3"/>
        <v>4</v>
      </c>
      <c r="M17" s="42">
        <f t="shared" si="3"/>
        <v>15</v>
      </c>
      <c r="N17" s="42">
        <f t="shared" si="3"/>
        <v>15</v>
      </c>
      <c r="O17" s="42">
        <f t="shared" si="3"/>
        <v>9</v>
      </c>
      <c r="P17" s="42">
        <f t="shared" si="3"/>
        <v>7</v>
      </c>
      <c r="Q17" s="42">
        <f t="shared" si="3"/>
        <v>5</v>
      </c>
      <c r="R17" s="42">
        <f t="shared" si="3"/>
        <v>15</v>
      </c>
      <c r="S17" s="42">
        <f t="shared" si="3"/>
        <v>15</v>
      </c>
      <c r="T17" s="42">
        <f t="shared" si="3"/>
        <v>15</v>
      </c>
      <c r="U17" s="42">
        <f t="shared" si="3"/>
        <v>15</v>
      </c>
      <c r="V17" s="42">
        <f t="shared" si="3"/>
        <v>13</v>
      </c>
      <c r="W17" s="42">
        <f t="shared" si="3"/>
        <v>3</v>
      </c>
      <c r="X17" s="42">
        <f t="shared" si="3"/>
        <v>0</v>
      </c>
      <c r="Y17" s="42">
        <f t="shared" si="3"/>
        <v>2</v>
      </c>
      <c r="Z17" s="42">
        <f t="shared" si="3"/>
        <v>0</v>
      </c>
      <c r="AA17" s="42">
        <f t="shared" si="3"/>
        <v>0</v>
      </c>
      <c r="AB17" s="42">
        <f t="shared" si="3"/>
        <v>0</v>
      </c>
    </row>
    <row r="20">
      <c r="A20" s="31"/>
      <c r="E20" s="26"/>
    </row>
    <row r="21">
      <c r="A21" s="49" t="s">
        <v>143</v>
      </c>
      <c r="E21" s="32" t="s">
        <v>65</v>
      </c>
    </row>
    <row r="22">
      <c r="A22" s="31"/>
      <c r="E22" s="34" t="s">
        <v>66</v>
      </c>
    </row>
    <row r="23">
      <c r="A23" s="31"/>
      <c r="E23" s="36" t="s">
        <v>28</v>
      </c>
    </row>
    <row r="24">
      <c r="A24" s="31"/>
      <c r="E24" s="37" t="s">
        <v>68</v>
      </c>
    </row>
    <row r="25">
      <c r="A25" s="31"/>
      <c r="E25" s="26"/>
    </row>
    <row r="26">
      <c r="A26" s="31"/>
      <c r="E26" s="26"/>
    </row>
    <row r="27">
      <c r="A27" s="31"/>
      <c r="E27" s="26"/>
    </row>
    <row r="28">
      <c r="A28" s="31"/>
      <c r="E28" s="26"/>
    </row>
  </sheetData>
  <conditionalFormatting sqref="E2:AB16">
    <cfRule type="cellIs" dxfId="0" priority="1" operator="equal">
      <formula>"TRUE"</formula>
    </cfRule>
  </conditionalFormatting>
  <hyperlinks>
    <hyperlink r:id="rId2" ref="A21"/>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4" width="7.38"/>
  </cols>
  <sheetData>
    <row r="1">
      <c r="B1" s="10" t="s">
        <v>29</v>
      </c>
      <c r="C1" s="10" t="s">
        <v>30</v>
      </c>
      <c r="D1" s="21" t="s">
        <v>31</v>
      </c>
      <c r="E1" s="21" t="s">
        <v>144</v>
      </c>
      <c r="F1" s="21" t="s">
        <v>145</v>
      </c>
      <c r="G1" s="21" t="s">
        <v>146</v>
      </c>
      <c r="H1" s="21" t="s">
        <v>147</v>
      </c>
      <c r="I1" s="21" t="s">
        <v>148</v>
      </c>
      <c r="J1" s="21" t="s">
        <v>149</v>
      </c>
      <c r="K1" s="21" t="s">
        <v>150</v>
      </c>
      <c r="L1" s="21" t="s">
        <v>151</v>
      </c>
      <c r="M1" s="21" t="s">
        <v>152</v>
      </c>
      <c r="N1" s="21" t="s">
        <v>153</v>
      </c>
      <c r="O1" s="21" t="s">
        <v>154</v>
      </c>
      <c r="P1" s="21" t="s">
        <v>155</v>
      </c>
      <c r="Q1" s="23" t="s">
        <v>41</v>
      </c>
      <c r="R1" s="23" t="s">
        <v>41</v>
      </c>
      <c r="S1" s="24" t="s">
        <v>156</v>
      </c>
      <c r="T1" s="25" t="s">
        <v>125</v>
      </c>
      <c r="U1" s="25" t="s">
        <v>125</v>
      </c>
      <c r="V1" s="25" t="s">
        <v>125</v>
      </c>
      <c r="W1" s="25" t="s">
        <v>125</v>
      </c>
      <c r="X1" s="25" t="s">
        <v>157</v>
      </c>
      <c r="Y1" s="25" t="s">
        <v>157</v>
      </c>
      <c r="Z1" s="25" t="s">
        <v>157</v>
      </c>
    </row>
    <row r="2">
      <c r="A2" s="27" t="s">
        <v>49</v>
      </c>
      <c r="B2" s="12">
        <f t="shared" ref="B2:B16" si="1">COUNTIF(E2:R2, TRUE) / COUNTA(E2:R2)</f>
        <v>0.6428571429</v>
      </c>
      <c r="C2" s="12">
        <f t="shared" ref="C2:C16" si="2">COUNTIF(E2:Z2, TRUE) / COUNTA(E2:Z2)</f>
        <v>0.5</v>
      </c>
      <c r="D2" s="21" t="s">
        <v>31</v>
      </c>
      <c r="E2" s="21" t="b">
        <v>1</v>
      </c>
      <c r="F2" s="21" t="b">
        <v>1</v>
      </c>
      <c r="G2" s="21" t="b">
        <v>1</v>
      </c>
      <c r="H2" s="21" t="b">
        <v>0</v>
      </c>
      <c r="I2" s="21" t="b">
        <v>0</v>
      </c>
      <c r="J2" s="21" t="b">
        <v>0</v>
      </c>
      <c r="K2" s="21" t="b">
        <v>0</v>
      </c>
      <c r="L2" s="21" t="b">
        <v>0</v>
      </c>
      <c r="M2" s="21" t="b">
        <v>1</v>
      </c>
      <c r="N2" s="21" t="b">
        <v>1</v>
      </c>
      <c r="O2" s="21" t="b">
        <v>1</v>
      </c>
      <c r="P2" s="21" t="b">
        <v>1</v>
      </c>
      <c r="Q2" s="21" t="b">
        <v>1</v>
      </c>
      <c r="R2" s="21" t="b">
        <v>1</v>
      </c>
      <c r="S2" s="21" t="b">
        <v>0</v>
      </c>
      <c r="T2" s="21" t="b">
        <v>1</v>
      </c>
      <c r="U2" s="21" t="b">
        <v>1</v>
      </c>
      <c r="V2" s="21" t="b">
        <v>0</v>
      </c>
      <c r="W2" s="21" t="b">
        <v>0</v>
      </c>
      <c r="X2" s="21" t="b">
        <v>0</v>
      </c>
      <c r="Y2" s="21" t="b">
        <v>0</v>
      </c>
      <c r="Z2" s="21" t="b">
        <v>0</v>
      </c>
      <c r="AA2" s="21"/>
      <c r="AB2" s="21"/>
    </row>
    <row r="3">
      <c r="A3" s="27" t="s">
        <v>50</v>
      </c>
      <c r="B3" s="12">
        <f t="shared" si="1"/>
        <v>0.5714285714</v>
      </c>
      <c r="C3" s="12">
        <f t="shared" si="2"/>
        <v>0.4545454545</v>
      </c>
      <c r="D3" s="21" t="s">
        <v>31</v>
      </c>
      <c r="E3" s="21" t="b">
        <v>1</v>
      </c>
      <c r="F3" s="21" t="b">
        <v>1</v>
      </c>
      <c r="G3" s="21" t="b">
        <v>1</v>
      </c>
      <c r="H3" s="21" t="b">
        <v>0</v>
      </c>
      <c r="I3" s="21" t="b">
        <v>0</v>
      </c>
      <c r="J3" s="21" t="b">
        <v>0</v>
      </c>
      <c r="K3" s="21" t="b">
        <v>0</v>
      </c>
      <c r="L3" s="21" t="b">
        <v>0</v>
      </c>
      <c r="M3" s="21" t="b">
        <v>1</v>
      </c>
      <c r="N3" s="21" t="b">
        <v>1</v>
      </c>
      <c r="O3" s="21" t="b">
        <v>1</v>
      </c>
      <c r="P3" s="21" t="b">
        <v>0</v>
      </c>
      <c r="Q3" s="21" t="b">
        <v>1</v>
      </c>
      <c r="R3" s="21" t="b">
        <v>1</v>
      </c>
      <c r="S3" s="21" t="b">
        <v>0</v>
      </c>
      <c r="T3" s="21" t="b">
        <v>1</v>
      </c>
      <c r="U3" s="21" t="b">
        <v>1</v>
      </c>
      <c r="V3" s="21" t="b">
        <v>0</v>
      </c>
      <c r="W3" s="21" t="b">
        <v>0</v>
      </c>
      <c r="X3" s="21" t="b">
        <v>0</v>
      </c>
      <c r="Y3" s="21" t="b">
        <v>0</v>
      </c>
      <c r="Z3" s="21" t="b">
        <v>0</v>
      </c>
      <c r="AA3" s="21"/>
      <c r="AB3" s="21"/>
    </row>
    <row r="4">
      <c r="A4" s="26" t="s">
        <v>51</v>
      </c>
      <c r="B4" s="12">
        <f t="shared" si="1"/>
        <v>0.5</v>
      </c>
      <c r="C4" s="12">
        <f t="shared" si="2"/>
        <v>0.3181818182</v>
      </c>
      <c r="D4" s="29"/>
      <c r="E4" s="21" t="b">
        <v>0</v>
      </c>
      <c r="F4" s="21" t="b">
        <v>0</v>
      </c>
      <c r="G4" s="21" t="b">
        <v>1</v>
      </c>
      <c r="H4" s="21" t="b">
        <v>0</v>
      </c>
      <c r="I4" s="21" t="b">
        <v>0</v>
      </c>
      <c r="J4" s="21" t="b">
        <v>0</v>
      </c>
      <c r="K4" s="21" t="b">
        <v>0</v>
      </c>
      <c r="L4" s="21" t="b">
        <v>0</v>
      </c>
      <c r="M4" s="21" t="b">
        <v>1</v>
      </c>
      <c r="N4" s="21" t="b">
        <v>1</v>
      </c>
      <c r="O4" s="21" t="b">
        <v>1</v>
      </c>
      <c r="P4" s="21" t="b">
        <v>1</v>
      </c>
      <c r="Q4" s="21" t="b">
        <v>1</v>
      </c>
      <c r="R4" s="21" t="b">
        <v>1</v>
      </c>
      <c r="S4" s="21" t="b">
        <v>0</v>
      </c>
      <c r="T4" s="21" t="b">
        <v>0</v>
      </c>
      <c r="U4" s="21" t="b">
        <v>0</v>
      </c>
      <c r="V4" s="21" t="b">
        <v>0</v>
      </c>
      <c r="W4" s="21" t="b">
        <v>0</v>
      </c>
      <c r="X4" s="21" t="b">
        <v>0</v>
      </c>
      <c r="Y4" s="21" t="b">
        <v>0</v>
      </c>
      <c r="Z4" s="21" t="b">
        <v>0</v>
      </c>
      <c r="AA4" s="21"/>
      <c r="AB4" s="21"/>
    </row>
    <row r="5">
      <c r="A5" s="27" t="s">
        <v>52</v>
      </c>
      <c r="B5" s="12">
        <f t="shared" si="1"/>
        <v>0.6428571429</v>
      </c>
      <c r="C5" s="12">
        <f t="shared" si="2"/>
        <v>0.5</v>
      </c>
      <c r="D5" s="21" t="s">
        <v>31</v>
      </c>
      <c r="E5" s="21" t="b">
        <v>1</v>
      </c>
      <c r="F5" s="21" t="b">
        <v>1</v>
      </c>
      <c r="G5" s="21" t="b">
        <v>1</v>
      </c>
      <c r="H5" s="21" t="b">
        <v>0</v>
      </c>
      <c r="I5" s="21" t="b">
        <v>0</v>
      </c>
      <c r="J5" s="21" t="b">
        <v>0</v>
      </c>
      <c r="K5" s="21" t="b">
        <v>0</v>
      </c>
      <c r="L5" s="21" t="b">
        <v>0</v>
      </c>
      <c r="M5" s="21" t="b">
        <v>1</v>
      </c>
      <c r="N5" s="21" t="b">
        <v>1</v>
      </c>
      <c r="O5" s="21" t="b">
        <v>1</v>
      </c>
      <c r="P5" s="21" t="b">
        <v>1</v>
      </c>
      <c r="Q5" s="21" t="b">
        <v>1</v>
      </c>
      <c r="R5" s="21" t="b">
        <v>1</v>
      </c>
      <c r="S5" s="21" t="b">
        <v>0</v>
      </c>
      <c r="T5" s="21" t="b">
        <v>1</v>
      </c>
      <c r="U5" s="21" t="b">
        <v>1</v>
      </c>
      <c r="V5" s="21" t="b">
        <v>0</v>
      </c>
      <c r="W5" s="21" t="b">
        <v>0</v>
      </c>
      <c r="X5" s="21" t="b">
        <v>0</v>
      </c>
      <c r="Y5" s="21" t="b">
        <v>0</v>
      </c>
      <c r="Z5" s="21" t="b">
        <v>0</v>
      </c>
      <c r="AA5" s="21"/>
      <c r="AB5" s="21"/>
    </row>
    <row r="6">
      <c r="A6" s="27" t="s">
        <v>53</v>
      </c>
      <c r="B6" s="12">
        <f t="shared" si="1"/>
        <v>0.6428571429</v>
      </c>
      <c r="C6" s="12">
        <f t="shared" si="2"/>
        <v>0.5</v>
      </c>
      <c r="D6" s="21" t="s">
        <v>31</v>
      </c>
      <c r="E6" s="21" t="b">
        <v>1</v>
      </c>
      <c r="F6" s="21" t="b">
        <v>1</v>
      </c>
      <c r="G6" s="21" t="b">
        <v>1</v>
      </c>
      <c r="H6" s="21" t="b">
        <v>0</v>
      </c>
      <c r="I6" s="21" t="b">
        <v>0</v>
      </c>
      <c r="J6" s="21" t="b">
        <v>0</v>
      </c>
      <c r="K6" s="21" t="b">
        <v>0</v>
      </c>
      <c r="L6" s="21" t="b">
        <v>0</v>
      </c>
      <c r="M6" s="21" t="b">
        <v>1</v>
      </c>
      <c r="N6" s="21" t="b">
        <v>1</v>
      </c>
      <c r="O6" s="21" t="b">
        <v>1</v>
      </c>
      <c r="P6" s="21" t="b">
        <v>1</v>
      </c>
      <c r="Q6" s="21" t="b">
        <v>1</v>
      </c>
      <c r="R6" s="21" t="b">
        <v>1</v>
      </c>
      <c r="S6" s="21" t="b">
        <v>0</v>
      </c>
      <c r="T6" s="21" t="b">
        <v>1</v>
      </c>
      <c r="U6" s="21" t="b">
        <v>1</v>
      </c>
      <c r="V6" s="21" t="b">
        <v>0</v>
      </c>
      <c r="W6" s="21" t="b">
        <v>0</v>
      </c>
      <c r="X6" s="21" t="b">
        <v>0</v>
      </c>
      <c r="Y6" s="21" t="b">
        <v>0</v>
      </c>
      <c r="Z6" s="21" t="b">
        <v>0</v>
      </c>
      <c r="AA6" s="21"/>
      <c r="AB6" s="21"/>
    </row>
    <row r="7">
      <c r="A7" s="26" t="s">
        <v>54</v>
      </c>
      <c r="B7" s="12">
        <f t="shared" si="1"/>
        <v>0.5714285714</v>
      </c>
      <c r="C7" s="12">
        <f t="shared" si="2"/>
        <v>0.3636363636</v>
      </c>
      <c r="D7" s="29"/>
      <c r="E7" s="21" t="b">
        <v>1</v>
      </c>
      <c r="F7" s="21" t="b">
        <v>0</v>
      </c>
      <c r="G7" s="21" t="b">
        <v>0</v>
      </c>
      <c r="H7" s="21" t="b">
        <v>0</v>
      </c>
      <c r="I7" s="21" t="b">
        <v>1</v>
      </c>
      <c r="J7" s="21" t="b">
        <v>0</v>
      </c>
      <c r="K7" s="21" t="b">
        <v>0</v>
      </c>
      <c r="L7" s="21" t="b">
        <v>0</v>
      </c>
      <c r="M7" s="21" t="b">
        <v>1</v>
      </c>
      <c r="N7" s="21" t="b">
        <v>1</v>
      </c>
      <c r="O7" s="21" t="b">
        <v>1</v>
      </c>
      <c r="P7" s="21" t="b">
        <v>1</v>
      </c>
      <c r="Q7" s="21" t="b">
        <v>1</v>
      </c>
      <c r="R7" s="21" t="b">
        <v>1</v>
      </c>
      <c r="S7" s="21" t="b">
        <v>0</v>
      </c>
      <c r="T7" s="21" t="b">
        <v>0</v>
      </c>
      <c r="U7" s="21" t="b">
        <v>0</v>
      </c>
      <c r="V7" s="21" t="b">
        <v>0</v>
      </c>
      <c r="W7" s="21" t="b">
        <v>0</v>
      </c>
      <c r="X7" s="21" t="b">
        <v>0</v>
      </c>
      <c r="Y7" s="21" t="b">
        <v>0</v>
      </c>
      <c r="Z7" s="21" t="b">
        <v>0</v>
      </c>
      <c r="AA7" s="21"/>
      <c r="AB7" s="21"/>
    </row>
    <row r="8">
      <c r="A8" s="27" t="s">
        <v>55</v>
      </c>
      <c r="B8" s="12">
        <f t="shared" si="1"/>
        <v>0.6428571429</v>
      </c>
      <c r="C8" s="12">
        <f t="shared" si="2"/>
        <v>0.5</v>
      </c>
      <c r="D8" s="21" t="s">
        <v>31</v>
      </c>
      <c r="E8" s="21" t="b">
        <v>1</v>
      </c>
      <c r="F8" s="21" t="b">
        <v>1</v>
      </c>
      <c r="G8" s="21" t="b">
        <v>1</v>
      </c>
      <c r="H8" s="21" t="b">
        <v>0</v>
      </c>
      <c r="I8" s="21" t="b">
        <v>0</v>
      </c>
      <c r="J8" s="21" t="b">
        <v>0</v>
      </c>
      <c r="K8" s="21" t="b">
        <v>0</v>
      </c>
      <c r="L8" s="21" t="b">
        <v>0</v>
      </c>
      <c r="M8" s="21" t="b">
        <v>1</v>
      </c>
      <c r="N8" s="21" t="b">
        <v>1</v>
      </c>
      <c r="O8" s="21" t="b">
        <v>1</v>
      </c>
      <c r="P8" s="21" t="b">
        <v>1</v>
      </c>
      <c r="Q8" s="21" t="b">
        <v>1</v>
      </c>
      <c r="R8" s="21" t="b">
        <v>1</v>
      </c>
      <c r="S8" s="21" t="b">
        <v>0</v>
      </c>
      <c r="T8" s="21" t="b">
        <v>1</v>
      </c>
      <c r="U8" s="21" t="b">
        <v>1</v>
      </c>
      <c r="V8" s="21" t="b">
        <v>0</v>
      </c>
      <c r="W8" s="21" t="b">
        <v>0</v>
      </c>
      <c r="X8" s="21" t="b">
        <v>0</v>
      </c>
      <c r="Y8" s="21" t="b">
        <v>0</v>
      </c>
      <c r="Z8" s="21" t="b">
        <v>0</v>
      </c>
      <c r="AA8" s="21"/>
      <c r="AB8" s="21"/>
    </row>
    <row r="9">
      <c r="A9" s="27" t="s">
        <v>56</v>
      </c>
      <c r="B9" s="12">
        <f t="shared" si="1"/>
        <v>0.6428571429</v>
      </c>
      <c r="C9" s="12">
        <f t="shared" si="2"/>
        <v>0.5</v>
      </c>
      <c r="D9" s="21" t="s">
        <v>31</v>
      </c>
      <c r="E9" s="21" t="b">
        <v>1</v>
      </c>
      <c r="F9" s="21" t="b">
        <v>1</v>
      </c>
      <c r="G9" s="21" t="b">
        <v>1</v>
      </c>
      <c r="H9" s="21" t="b">
        <v>0</v>
      </c>
      <c r="I9" s="21" t="b">
        <v>0</v>
      </c>
      <c r="J9" s="21" t="b">
        <v>0</v>
      </c>
      <c r="K9" s="21" t="b">
        <v>0</v>
      </c>
      <c r="L9" s="21" t="b">
        <v>0</v>
      </c>
      <c r="M9" s="21" t="b">
        <v>1</v>
      </c>
      <c r="N9" s="21" t="b">
        <v>1</v>
      </c>
      <c r="O9" s="21" t="b">
        <v>1</v>
      </c>
      <c r="P9" s="21" t="b">
        <v>1</v>
      </c>
      <c r="Q9" s="21" t="b">
        <v>1</v>
      </c>
      <c r="R9" s="21" t="b">
        <v>1</v>
      </c>
      <c r="S9" s="21" t="b">
        <v>0</v>
      </c>
      <c r="T9" s="21" t="b">
        <v>1</v>
      </c>
      <c r="U9" s="21" t="b">
        <v>1</v>
      </c>
      <c r="V9" s="21" t="b">
        <v>0</v>
      </c>
      <c r="W9" s="21" t="b">
        <v>0</v>
      </c>
      <c r="X9" s="21" t="b">
        <v>0</v>
      </c>
      <c r="Y9" s="21" t="b">
        <v>0</v>
      </c>
      <c r="Z9" s="21" t="b">
        <v>0</v>
      </c>
      <c r="AA9" s="21"/>
      <c r="AB9" s="21"/>
    </row>
    <row r="10">
      <c r="A10" s="27" t="s">
        <v>57</v>
      </c>
      <c r="B10" s="12">
        <f t="shared" si="1"/>
        <v>0.6428571429</v>
      </c>
      <c r="C10" s="12">
        <f t="shared" si="2"/>
        <v>0.5</v>
      </c>
      <c r="D10" s="21" t="s">
        <v>31</v>
      </c>
      <c r="E10" s="21" t="b">
        <v>1</v>
      </c>
      <c r="F10" s="21" t="b">
        <v>1</v>
      </c>
      <c r="G10" s="21" t="b">
        <v>1</v>
      </c>
      <c r="H10" s="21" t="b">
        <v>0</v>
      </c>
      <c r="I10" s="21" t="b">
        <v>0</v>
      </c>
      <c r="J10" s="21" t="b">
        <v>0</v>
      </c>
      <c r="K10" s="21" t="b">
        <v>0</v>
      </c>
      <c r="L10" s="21" t="b">
        <v>0</v>
      </c>
      <c r="M10" s="21" t="b">
        <v>1</v>
      </c>
      <c r="N10" s="21" t="b">
        <v>1</v>
      </c>
      <c r="O10" s="21" t="b">
        <v>1</v>
      </c>
      <c r="P10" s="21" t="b">
        <v>1</v>
      </c>
      <c r="Q10" s="21" t="b">
        <v>1</v>
      </c>
      <c r="R10" s="21" t="b">
        <v>1</v>
      </c>
      <c r="S10" s="21" t="b">
        <v>0</v>
      </c>
      <c r="T10" s="21" t="b">
        <v>1</v>
      </c>
      <c r="U10" s="21" t="b">
        <v>1</v>
      </c>
      <c r="V10" s="21" t="b">
        <v>0</v>
      </c>
      <c r="W10" s="21" t="b">
        <v>0</v>
      </c>
      <c r="X10" s="21" t="b">
        <v>0</v>
      </c>
      <c r="Y10" s="21" t="b">
        <v>0</v>
      </c>
      <c r="Z10" s="21" t="b">
        <v>0</v>
      </c>
      <c r="AA10" s="21"/>
      <c r="AB10" s="21"/>
    </row>
    <row r="11">
      <c r="A11" s="30" t="s">
        <v>58</v>
      </c>
      <c r="B11" s="12">
        <f t="shared" si="1"/>
        <v>0.5</v>
      </c>
      <c r="C11" s="12">
        <f t="shared" si="2"/>
        <v>0.3181818182</v>
      </c>
      <c r="D11" s="29"/>
      <c r="E11" s="21" t="b">
        <v>0</v>
      </c>
      <c r="F11" s="21" t="b">
        <v>0</v>
      </c>
      <c r="G11" s="21" t="b">
        <v>0</v>
      </c>
      <c r="H11" s="21" t="b">
        <v>0</v>
      </c>
      <c r="I11" s="21" t="b">
        <v>1</v>
      </c>
      <c r="J11" s="21" t="b">
        <v>0</v>
      </c>
      <c r="K11" s="21" t="b">
        <v>0</v>
      </c>
      <c r="L11" s="21" t="b">
        <v>0</v>
      </c>
      <c r="M11" s="21" t="b">
        <v>1</v>
      </c>
      <c r="N11" s="21" t="b">
        <v>1</v>
      </c>
      <c r="O11" s="21" t="b">
        <v>1</v>
      </c>
      <c r="P11" s="21" t="b">
        <v>1</v>
      </c>
      <c r="Q11" s="21" t="b">
        <v>1</v>
      </c>
      <c r="R11" s="21" t="b">
        <v>1</v>
      </c>
      <c r="S11" s="21" t="b">
        <v>0</v>
      </c>
      <c r="T11" s="21" t="b">
        <v>0</v>
      </c>
      <c r="U11" s="21" t="b">
        <v>0</v>
      </c>
      <c r="V11" s="21" t="b">
        <v>0</v>
      </c>
      <c r="W11" s="21" t="b">
        <v>0</v>
      </c>
      <c r="X11" s="21" t="b">
        <v>0</v>
      </c>
      <c r="Y11" s="21" t="b">
        <v>0</v>
      </c>
      <c r="Z11" s="21" t="b">
        <v>0</v>
      </c>
      <c r="AA11" s="21"/>
      <c r="AB11" s="21"/>
    </row>
    <row r="12">
      <c r="A12" s="27" t="s">
        <v>59</v>
      </c>
      <c r="B12" s="12">
        <f t="shared" si="1"/>
        <v>0.6428571429</v>
      </c>
      <c r="C12" s="12">
        <f t="shared" si="2"/>
        <v>0.5</v>
      </c>
      <c r="D12" s="21" t="s">
        <v>31</v>
      </c>
      <c r="E12" s="21" t="b">
        <v>1</v>
      </c>
      <c r="F12" s="21" t="b">
        <v>1</v>
      </c>
      <c r="G12" s="21" t="b">
        <v>1</v>
      </c>
      <c r="H12" s="21" t="b">
        <v>0</v>
      </c>
      <c r="I12" s="21" t="b">
        <v>0</v>
      </c>
      <c r="J12" s="21" t="b">
        <v>0</v>
      </c>
      <c r="K12" s="21" t="b">
        <v>0</v>
      </c>
      <c r="L12" s="21" t="b">
        <v>0</v>
      </c>
      <c r="M12" s="21" t="b">
        <v>1</v>
      </c>
      <c r="N12" s="21" t="b">
        <v>1</v>
      </c>
      <c r="O12" s="21" t="b">
        <v>1</v>
      </c>
      <c r="P12" s="21" t="b">
        <v>1</v>
      </c>
      <c r="Q12" s="21" t="b">
        <v>1</v>
      </c>
      <c r="R12" s="21" t="b">
        <v>1</v>
      </c>
      <c r="S12" s="21" t="b">
        <v>0</v>
      </c>
      <c r="T12" s="21" t="b">
        <v>1</v>
      </c>
      <c r="U12" s="21" t="b">
        <v>1</v>
      </c>
      <c r="V12" s="21" t="b">
        <v>0</v>
      </c>
      <c r="W12" s="21" t="b">
        <v>0</v>
      </c>
      <c r="X12" s="21" t="b">
        <v>0</v>
      </c>
      <c r="Y12" s="21" t="b">
        <v>0</v>
      </c>
      <c r="Z12" s="21" t="b">
        <v>0</v>
      </c>
      <c r="AA12" s="21"/>
      <c r="AB12" s="21"/>
    </row>
    <row r="13">
      <c r="A13" s="27" t="s">
        <v>60</v>
      </c>
      <c r="B13" s="12">
        <f t="shared" si="1"/>
        <v>0.5714285714</v>
      </c>
      <c r="C13" s="12">
        <f t="shared" si="2"/>
        <v>0.4545454545</v>
      </c>
      <c r="D13" s="21" t="s">
        <v>31</v>
      </c>
      <c r="E13" s="21" t="b">
        <v>1</v>
      </c>
      <c r="F13" s="21" t="b">
        <v>1</v>
      </c>
      <c r="G13" s="21" t="b">
        <v>1</v>
      </c>
      <c r="H13" s="21" t="b">
        <v>0</v>
      </c>
      <c r="I13" s="21" t="b">
        <v>0</v>
      </c>
      <c r="J13" s="21" t="b">
        <v>0</v>
      </c>
      <c r="K13" s="21" t="b">
        <v>0</v>
      </c>
      <c r="L13" s="21" t="b">
        <v>0</v>
      </c>
      <c r="M13" s="21" t="b">
        <v>1</v>
      </c>
      <c r="N13" s="21" t="b">
        <v>1</v>
      </c>
      <c r="O13" s="21" t="b">
        <v>1</v>
      </c>
      <c r="P13" s="21" t="b">
        <v>0</v>
      </c>
      <c r="Q13" s="21" t="b">
        <v>1</v>
      </c>
      <c r="R13" s="21" t="b">
        <v>1</v>
      </c>
      <c r="S13" s="21" t="b">
        <v>0</v>
      </c>
      <c r="T13" s="21" t="b">
        <v>1</v>
      </c>
      <c r="U13" s="21" t="b">
        <v>1</v>
      </c>
      <c r="V13" s="21" t="b">
        <v>0</v>
      </c>
      <c r="W13" s="21" t="b">
        <v>0</v>
      </c>
      <c r="X13" s="21" t="b">
        <v>0</v>
      </c>
      <c r="Y13" s="21" t="b">
        <v>0</v>
      </c>
      <c r="Z13" s="21" t="b">
        <v>0</v>
      </c>
      <c r="AA13" s="21"/>
      <c r="AB13" s="21"/>
    </row>
    <row r="14">
      <c r="A14" s="27" t="s">
        <v>61</v>
      </c>
      <c r="B14" s="12">
        <f t="shared" si="1"/>
        <v>0.6428571429</v>
      </c>
      <c r="C14" s="12">
        <f t="shared" si="2"/>
        <v>0.5</v>
      </c>
      <c r="D14" s="21" t="s">
        <v>31</v>
      </c>
      <c r="E14" s="21" t="b">
        <v>1</v>
      </c>
      <c r="F14" s="21" t="b">
        <v>1</v>
      </c>
      <c r="G14" s="21" t="b">
        <v>1</v>
      </c>
      <c r="H14" s="21" t="b">
        <v>0</v>
      </c>
      <c r="I14" s="21" t="b">
        <v>0</v>
      </c>
      <c r="J14" s="21" t="b">
        <v>0</v>
      </c>
      <c r="K14" s="21" t="b">
        <v>0</v>
      </c>
      <c r="L14" s="21" t="b">
        <v>0</v>
      </c>
      <c r="M14" s="21" t="b">
        <v>1</v>
      </c>
      <c r="N14" s="21" t="b">
        <v>1</v>
      </c>
      <c r="O14" s="21" t="b">
        <v>1</v>
      </c>
      <c r="P14" s="21" t="b">
        <v>1</v>
      </c>
      <c r="Q14" s="21" t="b">
        <v>1</v>
      </c>
      <c r="R14" s="21" t="b">
        <v>1</v>
      </c>
      <c r="S14" s="21" t="b">
        <v>0</v>
      </c>
      <c r="T14" s="21" t="b">
        <v>1</v>
      </c>
      <c r="U14" s="21" t="b">
        <v>1</v>
      </c>
      <c r="V14" s="21" t="b">
        <v>0</v>
      </c>
      <c r="W14" s="21" t="b">
        <v>0</v>
      </c>
      <c r="X14" s="21" t="b">
        <v>0</v>
      </c>
      <c r="Y14" s="21" t="b">
        <v>0</v>
      </c>
      <c r="Z14" s="21" t="b">
        <v>0</v>
      </c>
      <c r="AA14" s="21"/>
      <c r="AB14" s="21"/>
    </row>
    <row r="15">
      <c r="A15" s="26" t="s">
        <v>62</v>
      </c>
      <c r="B15" s="12">
        <f t="shared" si="1"/>
        <v>0.3571428571</v>
      </c>
      <c r="C15" s="12">
        <f t="shared" si="2"/>
        <v>0.2272727273</v>
      </c>
      <c r="D15" s="29"/>
      <c r="E15" s="21" t="b">
        <v>0</v>
      </c>
      <c r="F15" s="21" t="b">
        <v>0</v>
      </c>
      <c r="G15" s="21" t="b">
        <v>0</v>
      </c>
      <c r="H15" s="21" t="b">
        <v>0</v>
      </c>
      <c r="I15" s="21" t="b">
        <v>0</v>
      </c>
      <c r="J15" s="21" t="b">
        <v>0</v>
      </c>
      <c r="K15" s="21" t="b">
        <v>0</v>
      </c>
      <c r="L15" s="21" t="b">
        <v>0</v>
      </c>
      <c r="M15" s="21" t="b">
        <v>1</v>
      </c>
      <c r="N15" s="21" t="b">
        <v>1</v>
      </c>
      <c r="O15" s="21" t="b">
        <v>1</v>
      </c>
      <c r="P15" s="21" t="b">
        <v>0</v>
      </c>
      <c r="Q15" s="21" t="b">
        <v>1</v>
      </c>
      <c r="R15" s="21" t="b">
        <v>1</v>
      </c>
      <c r="S15" s="21" t="b">
        <v>0</v>
      </c>
      <c r="T15" s="21" t="b">
        <v>0</v>
      </c>
      <c r="U15" s="21" t="b">
        <v>0</v>
      </c>
      <c r="V15" s="21" t="b">
        <v>0</v>
      </c>
      <c r="W15" s="21" t="b">
        <v>0</v>
      </c>
      <c r="X15" s="21" t="b">
        <v>0</v>
      </c>
      <c r="Y15" s="21" t="b">
        <v>0</v>
      </c>
      <c r="Z15" s="21" t="b">
        <v>0</v>
      </c>
      <c r="AA15" s="21"/>
      <c r="AB15" s="21"/>
    </row>
    <row r="16">
      <c r="A16" s="27" t="s">
        <v>63</v>
      </c>
      <c r="B16" s="12">
        <f t="shared" si="1"/>
        <v>0.6428571429</v>
      </c>
      <c r="C16" s="12">
        <f t="shared" si="2"/>
        <v>0.5</v>
      </c>
      <c r="D16" s="21" t="s">
        <v>31</v>
      </c>
      <c r="E16" s="21" t="b">
        <v>1</v>
      </c>
      <c r="F16" s="21" t="b">
        <v>1</v>
      </c>
      <c r="G16" s="21" t="b">
        <v>1</v>
      </c>
      <c r="H16" s="21" t="b">
        <v>0</v>
      </c>
      <c r="I16" s="21" t="b">
        <v>0</v>
      </c>
      <c r="J16" s="21" t="b">
        <v>0</v>
      </c>
      <c r="K16" s="21" t="b">
        <v>0</v>
      </c>
      <c r="L16" s="21" t="b">
        <v>0</v>
      </c>
      <c r="M16" s="21" t="b">
        <v>1</v>
      </c>
      <c r="N16" s="21" t="b">
        <v>1</v>
      </c>
      <c r="O16" s="21" t="b">
        <v>1</v>
      </c>
      <c r="P16" s="21" t="b">
        <v>1</v>
      </c>
      <c r="Q16" s="21" t="b">
        <v>1</v>
      </c>
      <c r="R16" s="21" t="b">
        <v>1</v>
      </c>
      <c r="S16" s="21" t="b">
        <v>0</v>
      </c>
      <c r="T16" s="21" t="b">
        <v>1</v>
      </c>
      <c r="U16" s="21" t="b">
        <v>1</v>
      </c>
      <c r="V16" s="21" t="b">
        <v>0</v>
      </c>
      <c r="W16" s="21" t="b">
        <v>0</v>
      </c>
      <c r="X16" s="21" t="b">
        <v>0</v>
      </c>
      <c r="Y16" s="21" t="b">
        <v>0</v>
      </c>
      <c r="Z16" s="21" t="b">
        <v>0</v>
      </c>
      <c r="AA16" s="21"/>
      <c r="AB16" s="21"/>
    </row>
    <row r="17">
      <c r="A17" s="10" t="s">
        <v>64</v>
      </c>
      <c r="E17" s="42">
        <f t="shared" ref="E17:Z17" si="3">COUNTIF(E2:E16, TRUE)</f>
        <v>12</v>
      </c>
      <c r="F17" s="42">
        <f t="shared" si="3"/>
        <v>11</v>
      </c>
      <c r="G17" s="42">
        <f t="shared" si="3"/>
        <v>12</v>
      </c>
      <c r="H17" s="42">
        <f t="shared" si="3"/>
        <v>0</v>
      </c>
      <c r="I17" s="42">
        <f t="shared" si="3"/>
        <v>2</v>
      </c>
      <c r="J17" s="42">
        <f t="shared" si="3"/>
        <v>0</v>
      </c>
      <c r="K17" s="42">
        <f t="shared" si="3"/>
        <v>0</v>
      </c>
      <c r="L17" s="42">
        <f t="shared" si="3"/>
        <v>0</v>
      </c>
      <c r="M17" s="42">
        <f t="shared" si="3"/>
        <v>15</v>
      </c>
      <c r="N17" s="42">
        <f t="shared" si="3"/>
        <v>15</v>
      </c>
      <c r="O17" s="42">
        <f t="shared" si="3"/>
        <v>15</v>
      </c>
      <c r="P17" s="42">
        <f t="shared" si="3"/>
        <v>12</v>
      </c>
      <c r="Q17" s="42">
        <f t="shared" si="3"/>
        <v>15</v>
      </c>
      <c r="R17" s="42">
        <f t="shared" si="3"/>
        <v>15</v>
      </c>
      <c r="S17" s="42">
        <f t="shared" si="3"/>
        <v>0</v>
      </c>
      <c r="T17" s="42">
        <f t="shared" si="3"/>
        <v>11</v>
      </c>
      <c r="U17" s="42">
        <f t="shared" si="3"/>
        <v>11</v>
      </c>
      <c r="V17" s="42">
        <f t="shared" si="3"/>
        <v>0</v>
      </c>
      <c r="W17" s="42">
        <f t="shared" si="3"/>
        <v>0</v>
      </c>
      <c r="X17" s="42">
        <f t="shared" si="3"/>
        <v>0</v>
      </c>
      <c r="Y17" s="42">
        <f t="shared" si="3"/>
        <v>0</v>
      </c>
      <c r="Z17" s="42">
        <f t="shared" si="3"/>
        <v>0</v>
      </c>
    </row>
    <row r="22">
      <c r="L22" s="10"/>
    </row>
    <row r="26">
      <c r="F26" s="32" t="s">
        <v>65</v>
      </c>
    </row>
    <row r="27">
      <c r="F27" s="34" t="s">
        <v>66</v>
      </c>
    </row>
    <row r="28">
      <c r="F28" s="36" t="s">
        <v>28</v>
      </c>
    </row>
    <row r="29">
      <c r="F29" s="37" t="s">
        <v>68</v>
      </c>
    </row>
  </sheetData>
  <conditionalFormatting sqref="E2:AB16">
    <cfRule type="cellIs" dxfId="0" priority="1" operator="equal">
      <formula>"TRUE"</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7.25"/>
    <col customWidth="1" min="3" max="4" width="7.38"/>
  </cols>
  <sheetData>
    <row r="1">
      <c r="B1" s="10" t="s">
        <v>29</v>
      </c>
      <c r="C1" s="10" t="s">
        <v>30</v>
      </c>
      <c r="D1" s="10" t="s">
        <v>31</v>
      </c>
      <c r="E1" s="21" t="s">
        <v>158</v>
      </c>
      <c r="F1" s="21" t="s">
        <v>159</v>
      </c>
      <c r="G1" s="21" t="s">
        <v>160</v>
      </c>
      <c r="H1" s="21" t="s">
        <v>161</v>
      </c>
      <c r="I1" s="21" t="s">
        <v>162</v>
      </c>
      <c r="J1" s="21" t="s">
        <v>163</v>
      </c>
      <c r="K1" s="21" t="s">
        <v>164</v>
      </c>
      <c r="L1" s="21" t="s">
        <v>165</v>
      </c>
      <c r="M1" s="21" t="s">
        <v>166</v>
      </c>
      <c r="N1" s="21" t="s">
        <v>167</v>
      </c>
      <c r="O1" s="24" t="s">
        <v>168</v>
      </c>
      <c r="P1" s="24" t="s">
        <v>169</v>
      </c>
      <c r="Q1" s="24" t="s">
        <v>170</v>
      </c>
      <c r="R1" s="24" t="s">
        <v>171</v>
      </c>
      <c r="S1" s="24" t="s">
        <v>172</v>
      </c>
      <c r="T1" s="24" t="s">
        <v>173</v>
      </c>
      <c r="U1" s="24" t="s">
        <v>174</v>
      </c>
      <c r="V1" s="24" t="s">
        <v>175</v>
      </c>
      <c r="W1" s="24" t="s">
        <v>176</v>
      </c>
      <c r="X1" s="25" t="s">
        <v>157</v>
      </c>
      <c r="Y1" s="25" t="s">
        <v>157</v>
      </c>
    </row>
    <row r="2">
      <c r="A2" s="26" t="s">
        <v>49</v>
      </c>
      <c r="B2" s="12">
        <f t="shared" ref="B2:B16" si="1">COUNTIF(E2:N2, TRUE) / COUNTA(E2:N2)</f>
        <v>0.2</v>
      </c>
      <c r="C2" s="12">
        <f t="shared" ref="C2:C16" si="2">COUNTIF(E2:Y2, TRUE) / COUNTA(E2:Y2)</f>
        <v>0.09523809524</v>
      </c>
      <c r="D2" s="12"/>
      <c r="E2" s="21" t="b">
        <v>0</v>
      </c>
      <c r="F2" s="21" t="b">
        <v>0</v>
      </c>
      <c r="G2" s="21" t="b">
        <v>0</v>
      </c>
      <c r="H2" s="21" t="b">
        <v>0</v>
      </c>
      <c r="I2" s="21" t="b">
        <v>0</v>
      </c>
      <c r="J2" s="21" t="b">
        <v>1</v>
      </c>
      <c r="K2" s="21" t="b">
        <v>1</v>
      </c>
      <c r="L2" s="21" t="b">
        <v>0</v>
      </c>
      <c r="M2" s="21" t="b">
        <v>0</v>
      </c>
      <c r="N2" s="21" t="b">
        <v>0</v>
      </c>
      <c r="O2" s="21" t="b">
        <v>0</v>
      </c>
      <c r="P2" s="21" t="b">
        <v>0</v>
      </c>
      <c r="Q2" s="21" t="b">
        <v>0</v>
      </c>
      <c r="R2" s="21" t="b">
        <v>0</v>
      </c>
      <c r="S2" s="21" t="b">
        <v>0</v>
      </c>
      <c r="T2" s="21" t="b">
        <v>0</v>
      </c>
      <c r="U2" s="21" t="b">
        <v>0</v>
      </c>
      <c r="V2" s="21" t="b">
        <v>0</v>
      </c>
      <c r="W2" s="21" t="b">
        <v>0</v>
      </c>
      <c r="X2" s="21" t="b">
        <v>0</v>
      </c>
      <c r="Y2" s="21" t="b">
        <v>0</v>
      </c>
    </row>
    <row r="3">
      <c r="A3" s="26" t="s">
        <v>50</v>
      </c>
      <c r="B3" s="12">
        <f t="shared" si="1"/>
        <v>0.5</v>
      </c>
      <c r="C3" s="12">
        <f t="shared" si="2"/>
        <v>0.2380952381</v>
      </c>
      <c r="D3" s="12"/>
      <c r="E3" s="21" t="b">
        <v>0</v>
      </c>
      <c r="F3" s="21" t="b">
        <v>0</v>
      </c>
      <c r="G3" s="21" t="b">
        <v>1</v>
      </c>
      <c r="H3" s="21" t="b">
        <v>0</v>
      </c>
      <c r="I3" s="21" t="b">
        <v>0</v>
      </c>
      <c r="J3" s="21" t="b">
        <v>1</v>
      </c>
      <c r="K3" s="21" t="b">
        <v>1</v>
      </c>
      <c r="L3" s="21" t="b">
        <v>0</v>
      </c>
      <c r="M3" s="21" t="b">
        <v>1</v>
      </c>
      <c r="N3" s="21" t="b">
        <v>1</v>
      </c>
      <c r="O3" s="21" t="b">
        <v>0</v>
      </c>
      <c r="P3" s="21" t="b">
        <v>0</v>
      </c>
      <c r="Q3" s="21" t="b">
        <v>0</v>
      </c>
      <c r="R3" s="21" t="b">
        <v>0</v>
      </c>
      <c r="S3" s="21" t="b">
        <v>0</v>
      </c>
      <c r="T3" s="21" t="b">
        <v>0</v>
      </c>
      <c r="U3" s="21" t="b">
        <v>0</v>
      </c>
      <c r="V3" s="21" t="b">
        <v>0</v>
      </c>
      <c r="W3" s="21" t="b">
        <v>0</v>
      </c>
      <c r="X3" s="21" t="b">
        <v>0</v>
      </c>
      <c r="Y3" s="21" t="b">
        <v>0</v>
      </c>
    </row>
    <row r="4">
      <c r="A4" s="26" t="s">
        <v>51</v>
      </c>
      <c r="B4" s="12">
        <f t="shared" si="1"/>
        <v>0.6</v>
      </c>
      <c r="C4" s="12">
        <f t="shared" si="2"/>
        <v>0.2857142857</v>
      </c>
      <c r="D4" s="12"/>
      <c r="E4" s="21" t="b">
        <v>0</v>
      </c>
      <c r="F4" s="21" t="b">
        <v>1</v>
      </c>
      <c r="G4" s="21" t="b">
        <v>0</v>
      </c>
      <c r="H4" s="21" t="b">
        <v>1</v>
      </c>
      <c r="I4" s="21" t="b">
        <v>0</v>
      </c>
      <c r="J4" s="21" t="b">
        <v>1</v>
      </c>
      <c r="K4" s="21" t="b">
        <v>1</v>
      </c>
      <c r="L4" s="21" t="b">
        <v>0</v>
      </c>
      <c r="M4" s="21" t="b">
        <v>1</v>
      </c>
      <c r="N4" s="21" t="b">
        <v>1</v>
      </c>
      <c r="O4" s="21" t="b">
        <v>0</v>
      </c>
      <c r="P4" s="21" t="b">
        <v>0</v>
      </c>
      <c r="Q4" s="21" t="b">
        <v>0</v>
      </c>
      <c r="R4" s="21" t="b">
        <v>0</v>
      </c>
      <c r="S4" s="21" t="b">
        <v>0</v>
      </c>
      <c r="T4" s="21" t="b">
        <v>0</v>
      </c>
      <c r="U4" s="21" t="b">
        <v>0</v>
      </c>
      <c r="V4" s="21" t="b">
        <v>0</v>
      </c>
      <c r="W4" s="21" t="b">
        <v>0</v>
      </c>
      <c r="X4" s="21" t="b">
        <v>0</v>
      </c>
      <c r="Y4" s="21" t="b">
        <v>0</v>
      </c>
    </row>
    <row r="5">
      <c r="A5" s="26" t="s">
        <v>52</v>
      </c>
      <c r="B5" s="12">
        <f t="shared" si="1"/>
        <v>0.6</v>
      </c>
      <c r="C5" s="12">
        <f t="shared" si="2"/>
        <v>0.2857142857</v>
      </c>
      <c r="D5" s="12"/>
      <c r="E5" s="21" t="b">
        <v>0</v>
      </c>
      <c r="F5" s="21" t="b">
        <v>1</v>
      </c>
      <c r="G5" s="21" t="b">
        <v>0</v>
      </c>
      <c r="H5" s="21" t="b">
        <v>1</v>
      </c>
      <c r="I5" s="21" t="b">
        <v>0</v>
      </c>
      <c r="J5" s="21" t="b">
        <v>1</v>
      </c>
      <c r="K5" s="21" t="b">
        <v>1</v>
      </c>
      <c r="L5" s="21" t="b">
        <v>0</v>
      </c>
      <c r="M5" s="21" t="b">
        <v>1</v>
      </c>
      <c r="N5" s="21" t="b">
        <v>1</v>
      </c>
      <c r="O5" s="21" t="b">
        <v>0</v>
      </c>
      <c r="P5" s="21" t="b">
        <v>0</v>
      </c>
      <c r="Q5" s="21" t="b">
        <v>0</v>
      </c>
      <c r="R5" s="21" t="b">
        <v>0</v>
      </c>
      <c r="S5" s="21" t="b">
        <v>0</v>
      </c>
      <c r="T5" s="21" t="b">
        <v>0</v>
      </c>
      <c r="U5" s="21" t="b">
        <v>0</v>
      </c>
      <c r="V5" s="21" t="b">
        <v>0</v>
      </c>
      <c r="W5" s="21" t="b">
        <v>0</v>
      </c>
      <c r="X5" s="21" t="b">
        <v>0</v>
      </c>
      <c r="Y5" s="21" t="b">
        <v>0</v>
      </c>
    </row>
    <row r="6">
      <c r="A6" s="26" t="s">
        <v>53</v>
      </c>
      <c r="B6" s="12">
        <f t="shared" si="1"/>
        <v>0.3</v>
      </c>
      <c r="C6" s="12">
        <f t="shared" si="2"/>
        <v>0.1428571429</v>
      </c>
      <c r="D6" s="12"/>
      <c r="E6" s="21" t="b">
        <v>0</v>
      </c>
      <c r="F6" s="21" t="b">
        <v>1</v>
      </c>
      <c r="G6" s="21" t="b">
        <v>0</v>
      </c>
      <c r="H6" s="21" t="b">
        <v>0</v>
      </c>
      <c r="I6" s="21" t="b">
        <v>0</v>
      </c>
      <c r="J6" s="21" t="b">
        <v>1</v>
      </c>
      <c r="K6" s="21" t="b">
        <v>1</v>
      </c>
      <c r="L6" s="21" t="b">
        <v>0</v>
      </c>
      <c r="M6" s="21" t="b">
        <v>0</v>
      </c>
      <c r="N6" s="21" t="b">
        <v>0</v>
      </c>
      <c r="O6" s="21" t="b">
        <v>0</v>
      </c>
      <c r="P6" s="21" t="b">
        <v>0</v>
      </c>
      <c r="Q6" s="21" t="b">
        <v>0</v>
      </c>
      <c r="R6" s="21" t="b">
        <v>0</v>
      </c>
      <c r="S6" s="21" t="b">
        <v>0</v>
      </c>
      <c r="T6" s="21" t="b">
        <v>0</v>
      </c>
      <c r="U6" s="21" t="b">
        <v>0</v>
      </c>
      <c r="V6" s="21" t="b">
        <v>0</v>
      </c>
      <c r="W6" s="21" t="b">
        <v>0</v>
      </c>
      <c r="X6" s="21" t="b">
        <v>0</v>
      </c>
      <c r="Y6" s="21" t="b">
        <v>0</v>
      </c>
    </row>
    <row r="7">
      <c r="A7" s="26" t="s">
        <v>54</v>
      </c>
      <c r="B7" s="12">
        <f t="shared" si="1"/>
        <v>0.2</v>
      </c>
      <c r="C7" s="12">
        <f t="shared" si="2"/>
        <v>0.09523809524</v>
      </c>
      <c r="D7" s="12"/>
      <c r="E7" s="21" t="b">
        <v>0</v>
      </c>
      <c r="F7" s="21" t="b">
        <v>0</v>
      </c>
      <c r="G7" s="21" t="b">
        <v>0</v>
      </c>
      <c r="H7" s="21" t="b">
        <v>0</v>
      </c>
      <c r="I7" s="21" t="b">
        <v>0</v>
      </c>
      <c r="J7" s="21" t="b">
        <v>1</v>
      </c>
      <c r="K7" s="21" t="b">
        <v>1</v>
      </c>
      <c r="L7" s="21" t="b">
        <v>0</v>
      </c>
      <c r="M7" s="21" t="b">
        <v>0</v>
      </c>
      <c r="N7" s="21" t="b">
        <v>0</v>
      </c>
      <c r="O7" s="21" t="b">
        <v>0</v>
      </c>
      <c r="P7" s="21" t="b">
        <v>0</v>
      </c>
      <c r="Q7" s="21" t="b">
        <v>0</v>
      </c>
      <c r="R7" s="21" t="b">
        <v>0</v>
      </c>
      <c r="S7" s="21" t="b">
        <v>0</v>
      </c>
      <c r="T7" s="21" t="b">
        <v>0</v>
      </c>
      <c r="U7" s="21" t="b">
        <v>0</v>
      </c>
      <c r="V7" s="21" t="b">
        <v>0</v>
      </c>
      <c r="W7" s="21" t="b">
        <v>0</v>
      </c>
      <c r="X7" s="21" t="b">
        <v>0</v>
      </c>
      <c r="Y7" s="21" t="b">
        <v>0</v>
      </c>
    </row>
    <row r="8">
      <c r="A8" s="26" t="s">
        <v>55</v>
      </c>
      <c r="B8" s="12">
        <f t="shared" si="1"/>
        <v>0.6</v>
      </c>
      <c r="C8" s="12">
        <f t="shared" si="2"/>
        <v>0.2857142857</v>
      </c>
      <c r="D8" s="12"/>
      <c r="E8" s="21" t="b">
        <v>0</v>
      </c>
      <c r="F8" s="21" t="b">
        <v>0</v>
      </c>
      <c r="G8" s="21" t="b">
        <v>1</v>
      </c>
      <c r="H8" s="21" t="b">
        <v>0</v>
      </c>
      <c r="I8" s="21" t="b">
        <v>1</v>
      </c>
      <c r="J8" s="21" t="b">
        <v>1</v>
      </c>
      <c r="K8" s="21" t="b">
        <v>1</v>
      </c>
      <c r="L8" s="21" t="b">
        <v>0</v>
      </c>
      <c r="M8" s="21" t="b">
        <v>1</v>
      </c>
      <c r="N8" s="21" t="b">
        <v>1</v>
      </c>
      <c r="O8" s="21" t="b">
        <v>0</v>
      </c>
      <c r="P8" s="21" t="b">
        <v>0</v>
      </c>
      <c r="Q8" s="21" t="b">
        <v>0</v>
      </c>
      <c r="R8" s="21" t="b">
        <v>0</v>
      </c>
      <c r="S8" s="21" t="b">
        <v>0</v>
      </c>
      <c r="T8" s="21" t="b">
        <v>0</v>
      </c>
      <c r="U8" s="21" t="b">
        <v>0</v>
      </c>
      <c r="V8" s="21" t="b">
        <v>0</v>
      </c>
      <c r="W8" s="21" t="b">
        <v>0</v>
      </c>
      <c r="X8" s="21" t="b">
        <v>0</v>
      </c>
      <c r="Y8" s="21" t="b">
        <v>0</v>
      </c>
    </row>
    <row r="9">
      <c r="A9" s="26" t="s">
        <v>56</v>
      </c>
      <c r="B9" s="12">
        <f t="shared" si="1"/>
        <v>0.6</v>
      </c>
      <c r="C9" s="12">
        <f t="shared" si="2"/>
        <v>0.2857142857</v>
      </c>
      <c r="D9" s="12"/>
      <c r="E9" s="21" t="b">
        <v>0</v>
      </c>
      <c r="F9" s="21" t="b">
        <v>1</v>
      </c>
      <c r="G9" s="21" t="b">
        <v>0</v>
      </c>
      <c r="H9" s="21" t="b">
        <v>1</v>
      </c>
      <c r="I9" s="21" t="b">
        <v>0</v>
      </c>
      <c r="J9" s="21" t="b">
        <v>1</v>
      </c>
      <c r="K9" s="21" t="b">
        <v>1</v>
      </c>
      <c r="L9" s="21" t="b">
        <v>0</v>
      </c>
      <c r="M9" s="21" t="b">
        <v>1</v>
      </c>
      <c r="N9" s="21" t="b">
        <v>1</v>
      </c>
      <c r="O9" s="21" t="b">
        <v>0</v>
      </c>
      <c r="P9" s="21" t="b">
        <v>0</v>
      </c>
      <c r="Q9" s="21" t="b">
        <v>0</v>
      </c>
      <c r="R9" s="21" t="b">
        <v>0</v>
      </c>
      <c r="S9" s="21" t="b">
        <v>0</v>
      </c>
      <c r="T9" s="21" t="b">
        <v>0</v>
      </c>
      <c r="U9" s="21" t="b">
        <v>0</v>
      </c>
      <c r="V9" s="21" t="b">
        <v>0</v>
      </c>
      <c r="W9" s="21" t="b">
        <v>0</v>
      </c>
      <c r="X9" s="21" t="b">
        <v>0</v>
      </c>
      <c r="Y9" s="21" t="b">
        <v>0</v>
      </c>
    </row>
    <row r="10">
      <c r="A10" s="26" t="s">
        <v>57</v>
      </c>
      <c r="B10" s="12">
        <f t="shared" si="1"/>
        <v>0.7</v>
      </c>
      <c r="C10" s="12">
        <f t="shared" si="2"/>
        <v>0.3333333333</v>
      </c>
      <c r="D10" s="12"/>
      <c r="E10" s="21" t="b">
        <v>0</v>
      </c>
      <c r="F10" s="21" t="b">
        <v>1</v>
      </c>
      <c r="G10" s="21" t="b">
        <v>1</v>
      </c>
      <c r="H10" s="21" t="b">
        <v>1</v>
      </c>
      <c r="I10" s="21" t="b">
        <v>0</v>
      </c>
      <c r="J10" s="21" t="b">
        <v>1</v>
      </c>
      <c r="K10" s="21" t="b">
        <v>1</v>
      </c>
      <c r="L10" s="21" t="b">
        <v>0</v>
      </c>
      <c r="M10" s="21" t="b">
        <v>1</v>
      </c>
      <c r="N10" s="21" t="b">
        <v>1</v>
      </c>
      <c r="O10" s="21" t="b">
        <v>0</v>
      </c>
      <c r="P10" s="21" t="b">
        <v>0</v>
      </c>
      <c r="Q10" s="21" t="b">
        <v>0</v>
      </c>
      <c r="R10" s="21" t="b">
        <v>0</v>
      </c>
      <c r="S10" s="21" t="b">
        <v>0</v>
      </c>
      <c r="T10" s="21" t="b">
        <v>0</v>
      </c>
      <c r="U10" s="21" t="b">
        <v>0</v>
      </c>
      <c r="V10" s="21" t="b">
        <v>0</v>
      </c>
      <c r="W10" s="21" t="b">
        <v>0</v>
      </c>
      <c r="X10" s="21" t="b">
        <v>0</v>
      </c>
      <c r="Y10" s="21" t="b">
        <v>0</v>
      </c>
    </row>
    <row r="11">
      <c r="A11" s="39" t="s">
        <v>58</v>
      </c>
      <c r="B11" s="12">
        <f t="shared" si="1"/>
        <v>0.2</v>
      </c>
      <c r="C11" s="12">
        <f t="shared" si="2"/>
        <v>0.09523809524</v>
      </c>
      <c r="D11" s="12"/>
      <c r="E11" s="21" t="b">
        <v>0</v>
      </c>
      <c r="F11" s="21" t="b">
        <v>0</v>
      </c>
      <c r="G11" s="21" t="b">
        <v>0</v>
      </c>
      <c r="H11" s="21" t="b">
        <v>0</v>
      </c>
      <c r="I11" s="21" t="b">
        <v>0</v>
      </c>
      <c r="J11" s="21" t="b">
        <v>1</v>
      </c>
      <c r="K11" s="21" t="b">
        <v>1</v>
      </c>
      <c r="L11" s="21" t="b">
        <v>0</v>
      </c>
      <c r="M11" s="21" t="b">
        <v>0</v>
      </c>
      <c r="N11" s="21" t="b">
        <v>0</v>
      </c>
      <c r="O11" s="21" t="b">
        <v>0</v>
      </c>
      <c r="P11" s="21" t="b">
        <v>0</v>
      </c>
      <c r="Q11" s="21" t="b">
        <v>0</v>
      </c>
      <c r="R11" s="21" t="b">
        <v>0</v>
      </c>
      <c r="S11" s="21" t="b">
        <v>0</v>
      </c>
      <c r="T11" s="21" t="b">
        <v>0</v>
      </c>
      <c r="U11" s="21" t="b">
        <v>0</v>
      </c>
      <c r="V11" s="21" t="b">
        <v>0</v>
      </c>
      <c r="W11" s="21" t="b">
        <v>0</v>
      </c>
      <c r="X11" s="21" t="b">
        <v>0</v>
      </c>
      <c r="Y11" s="21" t="b">
        <v>0</v>
      </c>
    </row>
    <row r="12">
      <c r="A12" s="26" t="s">
        <v>59</v>
      </c>
      <c r="B12" s="12">
        <f t="shared" si="1"/>
        <v>0.5</v>
      </c>
      <c r="C12" s="12">
        <f t="shared" si="2"/>
        <v>0.2380952381</v>
      </c>
      <c r="D12" s="12"/>
      <c r="E12" s="21" t="b">
        <v>0</v>
      </c>
      <c r="F12" s="21" t="b">
        <v>1</v>
      </c>
      <c r="G12" s="21" t="b">
        <v>1</v>
      </c>
      <c r="H12" s="21" t="b">
        <v>1</v>
      </c>
      <c r="I12" s="21" t="b">
        <v>0</v>
      </c>
      <c r="J12" s="21" t="b">
        <v>1</v>
      </c>
      <c r="K12" s="21" t="b">
        <v>1</v>
      </c>
      <c r="L12" s="21" t="b">
        <v>0</v>
      </c>
      <c r="M12" s="21" t="b">
        <v>0</v>
      </c>
      <c r="N12" s="21" t="b">
        <v>0</v>
      </c>
      <c r="O12" s="21" t="b">
        <v>0</v>
      </c>
      <c r="P12" s="21" t="b">
        <v>0</v>
      </c>
      <c r="Q12" s="21" t="b">
        <v>0</v>
      </c>
      <c r="R12" s="21" t="b">
        <v>0</v>
      </c>
      <c r="S12" s="21" t="b">
        <v>0</v>
      </c>
      <c r="T12" s="21" t="b">
        <v>0</v>
      </c>
      <c r="U12" s="21" t="b">
        <v>0</v>
      </c>
      <c r="V12" s="21" t="b">
        <v>0</v>
      </c>
      <c r="W12" s="21" t="b">
        <v>0</v>
      </c>
      <c r="X12" s="21" t="b">
        <v>0</v>
      </c>
      <c r="Y12" s="21" t="b">
        <v>0</v>
      </c>
    </row>
    <row r="13">
      <c r="A13" s="26" t="s">
        <v>60</v>
      </c>
      <c r="B13" s="12">
        <f t="shared" si="1"/>
        <v>0.6</v>
      </c>
      <c r="C13" s="12">
        <f t="shared" si="2"/>
        <v>0.2857142857</v>
      </c>
      <c r="D13" s="12"/>
      <c r="E13" s="21" t="b">
        <v>0</v>
      </c>
      <c r="F13" s="21" t="b">
        <v>1</v>
      </c>
      <c r="G13" s="21" t="b">
        <v>0</v>
      </c>
      <c r="H13" s="21" t="b">
        <v>1</v>
      </c>
      <c r="I13" s="21" t="b">
        <v>0</v>
      </c>
      <c r="J13" s="21" t="b">
        <v>1</v>
      </c>
      <c r="K13" s="21" t="b">
        <v>1</v>
      </c>
      <c r="L13" s="21" t="b">
        <v>0</v>
      </c>
      <c r="M13" s="21" t="b">
        <v>1</v>
      </c>
      <c r="N13" s="21" t="b">
        <v>1</v>
      </c>
      <c r="O13" s="21" t="b">
        <v>0</v>
      </c>
      <c r="P13" s="21" t="b">
        <v>0</v>
      </c>
      <c r="Q13" s="21" t="b">
        <v>0</v>
      </c>
      <c r="R13" s="21" t="b">
        <v>0</v>
      </c>
      <c r="S13" s="21" t="b">
        <v>0</v>
      </c>
      <c r="T13" s="21" t="b">
        <v>0</v>
      </c>
      <c r="U13" s="21" t="b">
        <v>0</v>
      </c>
      <c r="V13" s="21" t="b">
        <v>0</v>
      </c>
      <c r="W13" s="21" t="b">
        <v>0</v>
      </c>
      <c r="X13" s="21" t="b">
        <v>0</v>
      </c>
      <c r="Y13" s="21" t="b">
        <v>0</v>
      </c>
    </row>
    <row r="14">
      <c r="A14" s="26" t="s">
        <v>61</v>
      </c>
      <c r="B14" s="12">
        <f t="shared" si="1"/>
        <v>0.6</v>
      </c>
      <c r="C14" s="12">
        <f t="shared" si="2"/>
        <v>0.2857142857</v>
      </c>
      <c r="D14" s="12"/>
      <c r="E14" s="21" t="b">
        <v>0</v>
      </c>
      <c r="F14" s="21" t="b">
        <v>1</v>
      </c>
      <c r="G14" s="21" t="b">
        <v>1</v>
      </c>
      <c r="H14" s="21" t="b">
        <v>0</v>
      </c>
      <c r="I14" s="21" t="b">
        <v>0</v>
      </c>
      <c r="J14" s="21" t="b">
        <v>1</v>
      </c>
      <c r="K14" s="21" t="b">
        <v>1</v>
      </c>
      <c r="L14" s="21" t="b">
        <v>0</v>
      </c>
      <c r="M14" s="21" t="b">
        <v>1</v>
      </c>
      <c r="N14" s="21" t="b">
        <v>1</v>
      </c>
      <c r="O14" s="21" t="b">
        <v>0</v>
      </c>
      <c r="P14" s="21" t="b">
        <v>0</v>
      </c>
      <c r="Q14" s="21" t="b">
        <v>0</v>
      </c>
      <c r="R14" s="21" t="b">
        <v>0</v>
      </c>
      <c r="S14" s="21" t="b">
        <v>0</v>
      </c>
      <c r="T14" s="21" t="b">
        <v>0</v>
      </c>
      <c r="U14" s="21" t="b">
        <v>0</v>
      </c>
      <c r="V14" s="21" t="b">
        <v>0</v>
      </c>
      <c r="W14" s="21" t="b">
        <v>0</v>
      </c>
      <c r="X14" s="21" t="b">
        <v>0</v>
      </c>
      <c r="Y14" s="21" t="b">
        <v>0</v>
      </c>
    </row>
    <row r="15">
      <c r="A15" s="26" t="s">
        <v>62</v>
      </c>
      <c r="B15" s="12">
        <f t="shared" si="1"/>
        <v>0.4</v>
      </c>
      <c r="C15" s="12">
        <f t="shared" si="2"/>
        <v>0.1904761905</v>
      </c>
      <c r="D15" s="12"/>
      <c r="E15" s="21" t="b">
        <v>0</v>
      </c>
      <c r="F15" s="21" t="b">
        <v>1</v>
      </c>
      <c r="G15" s="21" t="b">
        <v>0</v>
      </c>
      <c r="H15" s="21" t="b">
        <v>0</v>
      </c>
      <c r="I15" s="21" t="b">
        <v>1</v>
      </c>
      <c r="J15" s="21" t="b">
        <v>1</v>
      </c>
      <c r="K15" s="21" t="b">
        <v>1</v>
      </c>
      <c r="L15" s="21" t="b">
        <v>0</v>
      </c>
      <c r="M15" s="21" t="b">
        <v>0</v>
      </c>
      <c r="N15" s="21" t="b">
        <v>0</v>
      </c>
      <c r="O15" s="21" t="b">
        <v>0</v>
      </c>
      <c r="P15" s="21" t="b">
        <v>0</v>
      </c>
      <c r="Q15" s="21" t="b">
        <v>0</v>
      </c>
      <c r="R15" s="21" t="b">
        <v>0</v>
      </c>
      <c r="S15" s="21" t="b">
        <v>0</v>
      </c>
      <c r="T15" s="21" t="b">
        <v>0</v>
      </c>
      <c r="U15" s="21" t="b">
        <v>0</v>
      </c>
      <c r="V15" s="21" t="b">
        <v>0</v>
      </c>
      <c r="W15" s="21" t="b">
        <v>0</v>
      </c>
      <c r="X15" s="21" t="b">
        <v>0</v>
      </c>
      <c r="Y15" s="21" t="b">
        <v>0</v>
      </c>
    </row>
    <row r="16">
      <c r="A16" s="26" t="s">
        <v>63</v>
      </c>
      <c r="B16" s="12">
        <f t="shared" si="1"/>
        <v>0.4</v>
      </c>
      <c r="C16" s="12">
        <f t="shared" si="2"/>
        <v>0.1904761905</v>
      </c>
      <c r="D16" s="12"/>
      <c r="E16" s="21" t="b">
        <v>0</v>
      </c>
      <c r="F16" s="21" t="b">
        <v>1</v>
      </c>
      <c r="G16" s="21" t="b">
        <v>0</v>
      </c>
      <c r="H16" s="21" t="b">
        <v>1</v>
      </c>
      <c r="I16" s="21" t="b">
        <v>0</v>
      </c>
      <c r="J16" s="21" t="b">
        <v>1</v>
      </c>
      <c r="K16" s="21" t="b">
        <v>1</v>
      </c>
      <c r="L16" s="21" t="b">
        <v>0</v>
      </c>
      <c r="M16" s="21" t="b">
        <v>0</v>
      </c>
      <c r="N16" s="21" t="b">
        <v>0</v>
      </c>
      <c r="O16" s="21" t="b">
        <v>0</v>
      </c>
      <c r="P16" s="21" t="b">
        <v>0</v>
      </c>
      <c r="Q16" s="21" t="b">
        <v>0</v>
      </c>
      <c r="R16" s="21" t="b">
        <v>0</v>
      </c>
      <c r="S16" s="21" t="b">
        <v>0</v>
      </c>
      <c r="T16" s="21" t="b">
        <v>0</v>
      </c>
      <c r="U16" s="21" t="b">
        <v>0</v>
      </c>
      <c r="V16" s="21" t="b">
        <v>0</v>
      </c>
      <c r="W16" s="21" t="b">
        <v>0</v>
      </c>
      <c r="X16" s="21" t="b">
        <v>0</v>
      </c>
      <c r="Y16" s="21" t="b">
        <v>0</v>
      </c>
    </row>
    <row r="17">
      <c r="A17" s="10" t="s">
        <v>64</v>
      </c>
      <c r="B17" s="10">
        <v>10.0</v>
      </c>
      <c r="C17" s="10">
        <v>21.0</v>
      </c>
      <c r="E17" s="42">
        <f t="shared" ref="E17:Y17" si="3">COUNTIF(E2:E16, TRUE)</f>
        <v>0</v>
      </c>
      <c r="F17" s="42">
        <f t="shared" si="3"/>
        <v>10</v>
      </c>
      <c r="G17" s="42">
        <f t="shared" si="3"/>
        <v>5</v>
      </c>
      <c r="H17" s="42">
        <f t="shared" si="3"/>
        <v>7</v>
      </c>
      <c r="I17" s="42">
        <f t="shared" si="3"/>
        <v>2</v>
      </c>
      <c r="J17" s="42">
        <f t="shared" si="3"/>
        <v>15</v>
      </c>
      <c r="K17" s="42">
        <f t="shared" si="3"/>
        <v>15</v>
      </c>
      <c r="L17" s="42">
        <f t="shared" si="3"/>
        <v>0</v>
      </c>
      <c r="M17" s="42">
        <f t="shared" si="3"/>
        <v>8</v>
      </c>
      <c r="N17" s="42">
        <f t="shared" si="3"/>
        <v>8</v>
      </c>
      <c r="O17" s="42">
        <f t="shared" si="3"/>
        <v>0</v>
      </c>
      <c r="P17" s="42">
        <f t="shared" si="3"/>
        <v>0</v>
      </c>
      <c r="Q17" s="42">
        <f t="shared" si="3"/>
        <v>0</v>
      </c>
      <c r="R17" s="42">
        <f t="shared" si="3"/>
        <v>0</v>
      </c>
      <c r="S17" s="42">
        <f t="shared" si="3"/>
        <v>0</v>
      </c>
      <c r="T17" s="42">
        <f t="shared" si="3"/>
        <v>0</v>
      </c>
      <c r="U17" s="42">
        <f t="shared" si="3"/>
        <v>0</v>
      </c>
      <c r="V17" s="42">
        <f t="shared" si="3"/>
        <v>0</v>
      </c>
      <c r="W17" s="42">
        <f t="shared" si="3"/>
        <v>0</v>
      </c>
      <c r="X17" s="42">
        <f t="shared" si="3"/>
        <v>0</v>
      </c>
      <c r="Y17" s="42">
        <f t="shared" si="3"/>
        <v>0</v>
      </c>
    </row>
    <row r="21">
      <c r="B21" s="10" t="s">
        <v>177</v>
      </c>
    </row>
    <row r="22">
      <c r="A22" s="48"/>
      <c r="E22" s="32" t="s">
        <v>65</v>
      </c>
    </row>
    <row r="23">
      <c r="A23" s="10"/>
      <c r="E23" s="34" t="s">
        <v>66</v>
      </c>
    </row>
    <row r="24">
      <c r="E24" s="36" t="s">
        <v>28</v>
      </c>
    </row>
    <row r="25">
      <c r="E25" s="37" t="s">
        <v>68</v>
      </c>
    </row>
  </sheetData>
  <conditionalFormatting sqref="E2:Y16">
    <cfRule type="cellIs" dxfId="0" priority="1" operator="equal">
      <formula>"TRUE"</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6.63"/>
    <col customWidth="1" min="3" max="4" width="7.38"/>
  </cols>
  <sheetData>
    <row r="1">
      <c r="B1" s="10" t="s">
        <v>29</v>
      </c>
      <c r="C1" s="10" t="s">
        <v>30</v>
      </c>
      <c r="D1" s="10" t="s">
        <v>31</v>
      </c>
      <c r="E1" s="21" t="s">
        <v>178</v>
      </c>
      <c r="F1" s="21" t="s">
        <v>179</v>
      </c>
      <c r="G1" s="21" t="s">
        <v>180</v>
      </c>
      <c r="H1" s="21" t="s">
        <v>181</v>
      </c>
      <c r="I1" s="21" t="s">
        <v>182</v>
      </c>
      <c r="J1" s="21" t="s">
        <v>183</v>
      </c>
      <c r="K1" s="21" t="s">
        <v>184</v>
      </c>
      <c r="L1" s="21" t="s">
        <v>185</v>
      </c>
      <c r="M1" s="21" t="s">
        <v>186</v>
      </c>
      <c r="N1" s="21" t="s">
        <v>187</v>
      </c>
      <c r="O1" s="21" t="s">
        <v>188</v>
      </c>
      <c r="P1" s="23" t="s">
        <v>189</v>
      </c>
      <c r="Q1" s="23" t="s">
        <v>190</v>
      </c>
      <c r="R1" s="23" t="s">
        <v>93</v>
      </c>
      <c r="S1" s="23" t="s">
        <v>93</v>
      </c>
      <c r="T1" s="23" t="s">
        <v>93</v>
      </c>
      <c r="U1" s="25" t="s">
        <v>157</v>
      </c>
      <c r="V1" s="25" t="s">
        <v>157</v>
      </c>
      <c r="W1" s="25" t="s">
        <v>157</v>
      </c>
      <c r="X1" s="25" t="s">
        <v>157</v>
      </c>
      <c r="Y1" s="25" t="s">
        <v>157</v>
      </c>
      <c r="Z1" s="25" t="s">
        <v>157</v>
      </c>
      <c r="AA1" s="25" t="s">
        <v>157</v>
      </c>
      <c r="AB1" s="25" t="s">
        <v>157</v>
      </c>
      <c r="AC1" s="24" t="s">
        <v>191</v>
      </c>
      <c r="AD1" s="24" t="s">
        <v>192</v>
      </c>
      <c r="AE1" s="24" t="s">
        <v>193</v>
      </c>
      <c r="AF1" s="24" t="s">
        <v>194</v>
      </c>
      <c r="AG1" s="24" t="s">
        <v>195</v>
      </c>
      <c r="AH1" s="50" t="s">
        <v>196</v>
      </c>
      <c r="AI1" s="24" t="s">
        <v>197</v>
      </c>
      <c r="AJ1" s="21"/>
    </row>
    <row r="2">
      <c r="A2" s="26" t="s">
        <v>49</v>
      </c>
      <c r="B2" s="12">
        <f t="shared" ref="B2:B16" si="1">COUNTIF(E2:T2, TRUE) / COUNTA(E2:T2)</f>
        <v>0.8125</v>
      </c>
      <c r="C2" s="12">
        <f t="shared" ref="C2:C16" si="2">COUNTIF(E2:AI2, TRUE) / COUNTA(E2:AI2)</f>
        <v>0.4193548387</v>
      </c>
      <c r="D2" s="12"/>
      <c r="E2" s="21" t="b">
        <v>1</v>
      </c>
      <c r="F2" s="21" t="b">
        <v>1</v>
      </c>
      <c r="G2" s="21" t="b">
        <v>1</v>
      </c>
      <c r="H2" s="21" t="b">
        <v>1</v>
      </c>
      <c r="I2" s="21" t="b">
        <v>1</v>
      </c>
      <c r="J2" s="21" t="b">
        <v>0</v>
      </c>
      <c r="K2" s="21" t="b">
        <v>1</v>
      </c>
      <c r="L2" s="21" t="b">
        <v>1</v>
      </c>
      <c r="M2" s="21" t="b">
        <v>0</v>
      </c>
      <c r="N2" s="21" t="b">
        <v>0</v>
      </c>
      <c r="O2" s="21" t="b">
        <v>1</v>
      </c>
      <c r="P2" s="21" t="b">
        <v>1</v>
      </c>
      <c r="Q2" s="21" t="b">
        <v>1</v>
      </c>
      <c r="R2" s="21" t="b">
        <v>1</v>
      </c>
      <c r="S2" s="21" t="b">
        <v>1</v>
      </c>
      <c r="T2" s="21" t="b">
        <v>1</v>
      </c>
      <c r="U2" s="21" t="b">
        <v>0</v>
      </c>
      <c r="V2" s="21" t="b">
        <v>0</v>
      </c>
      <c r="W2" s="21" t="b">
        <v>0</v>
      </c>
      <c r="X2" s="21" t="b">
        <v>0</v>
      </c>
      <c r="Y2" s="21" t="b">
        <v>0</v>
      </c>
      <c r="Z2" s="21" t="b">
        <v>0</v>
      </c>
      <c r="AA2" s="21" t="b">
        <v>0</v>
      </c>
      <c r="AB2" s="21" t="b">
        <v>0</v>
      </c>
      <c r="AC2" s="21" t="b">
        <v>0</v>
      </c>
      <c r="AD2" s="21" t="b">
        <v>0</v>
      </c>
      <c r="AE2" s="21" t="b">
        <v>0</v>
      </c>
      <c r="AF2" s="21" t="b">
        <v>0</v>
      </c>
      <c r="AG2" s="21" t="b">
        <v>0</v>
      </c>
      <c r="AH2" s="21" t="b">
        <v>0</v>
      </c>
      <c r="AI2" s="21" t="b">
        <v>0</v>
      </c>
      <c r="AJ2" s="21"/>
    </row>
    <row r="3">
      <c r="A3" s="26" t="s">
        <v>50</v>
      </c>
      <c r="B3" s="12">
        <f t="shared" si="1"/>
        <v>0.9375</v>
      </c>
      <c r="C3" s="12">
        <f t="shared" si="2"/>
        <v>0.4838709677</v>
      </c>
      <c r="D3" s="10" t="s">
        <v>31</v>
      </c>
      <c r="E3" s="21" t="b">
        <v>1</v>
      </c>
      <c r="F3" s="21" t="b">
        <v>1</v>
      </c>
      <c r="G3" s="21" t="b">
        <v>1</v>
      </c>
      <c r="H3" s="21" t="b">
        <v>1</v>
      </c>
      <c r="I3" s="21" t="b">
        <v>1</v>
      </c>
      <c r="J3" s="21" t="b">
        <v>1</v>
      </c>
      <c r="K3" s="21" t="b">
        <v>1</v>
      </c>
      <c r="L3" s="21" t="b">
        <v>1</v>
      </c>
      <c r="M3" s="21" t="b">
        <v>1</v>
      </c>
      <c r="N3" s="21" t="b">
        <v>1</v>
      </c>
      <c r="O3" s="21" t="b">
        <v>0</v>
      </c>
      <c r="P3" s="21" t="b">
        <v>1</v>
      </c>
      <c r="Q3" s="21" t="b">
        <v>1</v>
      </c>
      <c r="R3" s="21" t="b">
        <v>1</v>
      </c>
      <c r="S3" s="21" t="b">
        <v>1</v>
      </c>
      <c r="T3" s="21" t="b">
        <v>1</v>
      </c>
      <c r="U3" s="21" t="b">
        <v>0</v>
      </c>
      <c r="V3" s="21" t="b">
        <v>0</v>
      </c>
      <c r="W3" s="21" t="b">
        <v>0</v>
      </c>
      <c r="X3" s="21" t="b">
        <v>0</v>
      </c>
      <c r="Y3" s="21" t="b">
        <v>0</v>
      </c>
      <c r="Z3" s="21" t="b">
        <v>0</v>
      </c>
      <c r="AA3" s="21" t="b">
        <v>0</v>
      </c>
      <c r="AB3" s="21" t="b">
        <v>0</v>
      </c>
      <c r="AC3" s="21" t="b">
        <v>0</v>
      </c>
      <c r="AD3" s="21" t="b">
        <v>0</v>
      </c>
      <c r="AE3" s="21" t="b">
        <v>0</v>
      </c>
      <c r="AF3" s="21" t="b">
        <v>0</v>
      </c>
      <c r="AG3" s="21" t="b">
        <v>0</v>
      </c>
      <c r="AH3" s="21" t="b">
        <v>0</v>
      </c>
      <c r="AI3" s="21" t="b">
        <v>0</v>
      </c>
      <c r="AJ3" s="21"/>
    </row>
    <row r="4">
      <c r="A4" s="26" t="s">
        <v>51</v>
      </c>
      <c r="B4" s="12">
        <f t="shared" si="1"/>
        <v>0.625</v>
      </c>
      <c r="C4" s="12">
        <f t="shared" si="2"/>
        <v>0.3870967742</v>
      </c>
      <c r="D4" s="12"/>
      <c r="E4" s="21" t="b">
        <v>1</v>
      </c>
      <c r="F4" s="21" t="b">
        <v>1</v>
      </c>
      <c r="G4" s="21" t="b">
        <v>1</v>
      </c>
      <c r="H4" s="21" t="b">
        <v>0</v>
      </c>
      <c r="I4" s="21" t="b">
        <v>0</v>
      </c>
      <c r="J4" s="21" t="b">
        <v>0</v>
      </c>
      <c r="K4" s="21" t="b">
        <v>1</v>
      </c>
      <c r="L4" s="21" t="b">
        <v>1</v>
      </c>
      <c r="M4" s="21" t="b">
        <v>0</v>
      </c>
      <c r="N4" s="21" t="b">
        <v>0</v>
      </c>
      <c r="O4" s="21" t="b">
        <v>0</v>
      </c>
      <c r="P4" s="21" t="b">
        <v>1</v>
      </c>
      <c r="Q4" s="21" t="b">
        <v>1</v>
      </c>
      <c r="R4" s="21" t="b">
        <v>1</v>
      </c>
      <c r="S4" s="21" t="b">
        <v>1</v>
      </c>
      <c r="T4" s="21" t="b">
        <v>1</v>
      </c>
      <c r="U4" s="21" t="b">
        <v>1</v>
      </c>
      <c r="V4" s="21" t="b">
        <v>0</v>
      </c>
      <c r="W4" s="21" t="b">
        <v>0</v>
      </c>
      <c r="X4" s="21" t="b">
        <v>0</v>
      </c>
      <c r="Y4" s="21" t="b">
        <v>0</v>
      </c>
      <c r="Z4" s="21" t="b">
        <v>0</v>
      </c>
      <c r="AA4" s="21" t="b">
        <v>0</v>
      </c>
      <c r="AB4" s="21" t="b">
        <v>0</v>
      </c>
      <c r="AC4" s="21" t="b">
        <v>0</v>
      </c>
      <c r="AD4" s="21" t="b">
        <v>0</v>
      </c>
      <c r="AE4" s="21" t="b">
        <v>1</v>
      </c>
      <c r="AF4" s="21" t="b">
        <v>0</v>
      </c>
      <c r="AG4" s="21" t="b">
        <v>0</v>
      </c>
      <c r="AH4" s="21" t="b">
        <v>0</v>
      </c>
      <c r="AI4" s="21" t="b">
        <v>0</v>
      </c>
      <c r="AJ4" s="21"/>
    </row>
    <row r="5">
      <c r="A5" s="26" t="s">
        <v>52</v>
      </c>
      <c r="B5" s="12">
        <f t="shared" si="1"/>
        <v>0.6875</v>
      </c>
      <c r="C5" s="12">
        <f t="shared" si="2"/>
        <v>0.3548387097</v>
      </c>
      <c r="D5" s="10" t="s">
        <v>31</v>
      </c>
      <c r="E5" s="21" t="b">
        <v>1</v>
      </c>
      <c r="F5" s="21" t="b">
        <v>1</v>
      </c>
      <c r="G5" s="21" t="b">
        <v>0</v>
      </c>
      <c r="H5" s="21" t="b">
        <v>1</v>
      </c>
      <c r="I5" s="21" t="b">
        <v>0</v>
      </c>
      <c r="J5" s="21" t="b">
        <v>0</v>
      </c>
      <c r="K5" s="21" t="b">
        <v>1</v>
      </c>
      <c r="L5" s="21" t="b">
        <v>1</v>
      </c>
      <c r="M5" s="21" t="b">
        <v>1</v>
      </c>
      <c r="N5" s="21" t="b">
        <v>0</v>
      </c>
      <c r="O5" s="21" t="b">
        <v>0</v>
      </c>
      <c r="P5" s="21" t="b">
        <v>1</v>
      </c>
      <c r="Q5" s="21" t="b">
        <v>1</v>
      </c>
      <c r="R5" s="21" t="b">
        <v>1</v>
      </c>
      <c r="S5" s="21" t="b">
        <v>1</v>
      </c>
      <c r="T5" s="21" t="b">
        <v>1</v>
      </c>
      <c r="U5" s="21" t="b">
        <v>0</v>
      </c>
      <c r="V5" s="21" t="b">
        <v>0</v>
      </c>
      <c r="W5" s="21" t="b">
        <v>0</v>
      </c>
      <c r="X5" s="21" t="b">
        <v>0</v>
      </c>
      <c r="Y5" s="21" t="b">
        <v>0</v>
      </c>
      <c r="Z5" s="21" t="b">
        <v>0</v>
      </c>
      <c r="AA5" s="21" t="b">
        <v>0</v>
      </c>
      <c r="AB5" s="21" t="b">
        <v>0</v>
      </c>
      <c r="AC5" s="21" t="b">
        <v>0</v>
      </c>
      <c r="AD5" s="21" t="b">
        <v>0</v>
      </c>
      <c r="AE5" s="21" t="b">
        <v>0</v>
      </c>
      <c r="AF5" s="21" t="b">
        <v>0</v>
      </c>
      <c r="AG5" s="21" t="b">
        <v>0</v>
      </c>
      <c r="AH5" s="21" t="b">
        <v>0</v>
      </c>
      <c r="AI5" s="21" t="b">
        <v>0</v>
      </c>
      <c r="AJ5" s="21"/>
    </row>
    <row r="6">
      <c r="A6" s="26" t="s">
        <v>53</v>
      </c>
      <c r="B6" s="12">
        <f t="shared" si="1"/>
        <v>0.8125</v>
      </c>
      <c r="C6" s="12">
        <f t="shared" si="2"/>
        <v>0.4193548387</v>
      </c>
      <c r="D6" s="10" t="s">
        <v>31</v>
      </c>
      <c r="E6" s="21" t="b">
        <v>1</v>
      </c>
      <c r="F6" s="21" t="b">
        <v>1</v>
      </c>
      <c r="G6" s="21" t="b">
        <v>1</v>
      </c>
      <c r="H6" s="21" t="b">
        <v>1</v>
      </c>
      <c r="I6" s="21" t="b">
        <v>1</v>
      </c>
      <c r="J6" s="21" t="b">
        <v>1</v>
      </c>
      <c r="K6" s="21" t="b">
        <v>1</v>
      </c>
      <c r="L6" s="21" t="b">
        <v>1</v>
      </c>
      <c r="M6" s="21" t="b">
        <v>0</v>
      </c>
      <c r="N6" s="21" t="b">
        <v>0</v>
      </c>
      <c r="O6" s="21" t="b">
        <v>0</v>
      </c>
      <c r="P6" s="21" t="b">
        <v>1</v>
      </c>
      <c r="Q6" s="21" t="b">
        <v>1</v>
      </c>
      <c r="R6" s="21" t="b">
        <v>1</v>
      </c>
      <c r="S6" s="21" t="b">
        <v>1</v>
      </c>
      <c r="T6" s="21" t="b">
        <v>1</v>
      </c>
      <c r="U6" s="21" t="b">
        <v>0</v>
      </c>
      <c r="V6" s="21" t="b">
        <v>0</v>
      </c>
      <c r="W6" s="21" t="b">
        <v>0</v>
      </c>
      <c r="X6" s="21" t="b">
        <v>0</v>
      </c>
      <c r="Y6" s="21" t="b">
        <v>0</v>
      </c>
      <c r="Z6" s="21" t="b">
        <v>0</v>
      </c>
      <c r="AA6" s="21" t="b">
        <v>0</v>
      </c>
      <c r="AB6" s="21" t="b">
        <v>0</v>
      </c>
      <c r="AC6" s="21" t="b">
        <v>0</v>
      </c>
      <c r="AD6" s="21" t="b">
        <v>0</v>
      </c>
      <c r="AE6" s="21" t="b">
        <v>0</v>
      </c>
      <c r="AF6" s="21" t="b">
        <v>0</v>
      </c>
      <c r="AG6" s="21" t="b">
        <v>0</v>
      </c>
      <c r="AH6" s="21" t="b">
        <v>0</v>
      </c>
      <c r="AI6" s="21" t="b">
        <v>0</v>
      </c>
      <c r="AJ6" s="21"/>
    </row>
    <row r="7">
      <c r="A7" s="26" t="s">
        <v>54</v>
      </c>
      <c r="B7" s="12">
        <f t="shared" si="1"/>
        <v>0.625</v>
      </c>
      <c r="C7" s="12">
        <f t="shared" si="2"/>
        <v>0.3225806452</v>
      </c>
      <c r="D7" s="12"/>
      <c r="E7" s="21" t="b">
        <v>1</v>
      </c>
      <c r="F7" s="21" t="b">
        <v>1</v>
      </c>
      <c r="G7" s="21" t="b">
        <v>0</v>
      </c>
      <c r="H7" s="21" t="b">
        <v>0</v>
      </c>
      <c r="I7" s="21" t="b">
        <v>0</v>
      </c>
      <c r="J7" s="21" t="b">
        <v>0</v>
      </c>
      <c r="K7" s="21" t="b">
        <v>1</v>
      </c>
      <c r="L7" s="21" t="b">
        <v>1</v>
      </c>
      <c r="M7" s="21" t="b">
        <v>1</v>
      </c>
      <c r="N7" s="21" t="b">
        <v>0</v>
      </c>
      <c r="O7" s="21" t="b">
        <v>0</v>
      </c>
      <c r="P7" s="21" t="b">
        <v>1</v>
      </c>
      <c r="Q7" s="21" t="b">
        <v>1</v>
      </c>
      <c r="R7" s="21" t="b">
        <v>1</v>
      </c>
      <c r="S7" s="21" t="b">
        <v>1</v>
      </c>
      <c r="T7" s="21" t="b">
        <v>1</v>
      </c>
      <c r="U7" s="21" t="b">
        <v>0</v>
      </c>
      <c r="V7" s="21" t="b">
        <v>0</v>
      </c>
      <c r="W7" s="21" t="b">
        <v>0</v>
      </c>
      <c r="X7" s="21" t="b">
        <v>0</v>
      </c>
      <c r="Y7" s="21" t="b">
        <v>0</v>
      </c>
      <c r="Z7" s="21" t="b">
        <v>0</v>
      </c>
      <c r="AA7" s="21" t="b">
        <v>0</v>
      </c>
      <c r="AB7" s="21" t="b">
        <v>0</v>
      </c>
      <c r="AC7" s="21" t="b">
        <v>0</v>
      </c>
      <c r="AD7" s="21" t="b">
        <v>0</v>
      </c>
      <c r="AE7" s="21" t="b">
        <v>0</v>
      </c>
      <c r="AF7" s="21" t="b">
        <v>0</v>
      </c>
      <c r="AG7" s="21" t="b">
        <v>0</v>
      </c>
      <c r="AH7" s="21" t="b">
        <v>0</v>
      </c>
      <c r="AI7" s="21" t="b">
        <v>0</v>
      </c>
      <c r="AJ7" s="21"/>
    </row>
    <row r="8">
      <c r="A8" s="26" t="s">
        <v>55</v>
      </c>
      <c r="B8" s="12">
        <f t="shared" si="1"/>
        <v>0.875</v>
      </c>
      <c r="C8" s="12">
        <f t="shared" si="2"/>
        <v>0.4516129032</v>
      </c>
      <c r="D8" s="10" t="s">
        <v>31</v>
      </c>
      <c r="E8" s="21" t="b">
        <v>1</v>
      </c>
      <c r="F8" s="21" t="b">
        <v>1</v>
      </c>
      <c r="G8" s="21" t="b">
        <v>1</v>
      </c>
      <c r="H8" s="21" t="b">
        <v>1</v>
      </c>
      <c r="I8" s="21" t="b">
        <v>1</v>
      </c>
      <c r="J8" s="21" t="b">
        <v>1</v>
      </c>
      <c r="K8" s="21" t="b">
        <v>1</v>
      </c>
      <c r="L8" s="21" t="b">
        <v>1</v>
      </c>
      <c r="M8" s="21" t="b">
        <v>1</v>
      </c>
      <c r="N8" s="21" t="b">
        <v>0</v>
      </c>
      <c r="O8" s="21" t="b">
        <v>0</v>
      </c>
      <c r="P8" s="21" t="b">
        <v>1</v>
      </c>
      <c r="Q8" s="21" t="b">
        <v>1</v>
      </c>
      <c r="R8" s="21" t="b">
        <v>1</v>
      </c>
      <c r="S8" s="21" t="b">
        <v>1</v>
      </c>
      <c r="T8" s="21" t="b">
        <v>1</v>
      </c>
      <c r="U8" s="21" t="b">
        <v>0</v>
      </c>
      <c r="V8" s="21" t="b">
        <v>0</v>
      </c>
      <c r="W8" s="21" t="b">
        <v>0</v>
      </c>
      <c r="X8" s="21" t="b">
        <v>0</v>
      </c>
      <c r="Y8" s="21" t="b">
        <v>0</v>
      </c>
      <c r="Z8" s="21" t="b">
        <v>0</v>
      </c>
      <c r="AA8" s="21" t="b">
        <v>0</v>
      </c>
      <c r="AB8" s="21" t="b">
        <v>0</v>
      </c>
      <c r="AC8" s="21" t="b">
        <v>0</v>
      </c>
      <c r="AD8" s="21" t="b">
        <v>0</v>
      </c>
      <c r="AE8" s="21" t="b">
        <v>0</v>
      </c>
      <c r="AF8" s="21" t="b">
        <v>0</v>
      </c>
      <c r="AG8" s="21" t="b">
        <v>0</v>
      </c>
      <c r="AH8" s="21" t="b">
        <v>0</v>
      </c>
      <c r="AI8" s="21" t="b">
        <v>0</v>
      </c>
      <c r="AJ8" s="21"/>
    </row>
    <row r="9">
      <c r="A9" s="26" t="s">
        <v>56</v>
      </c>
      <c r="B9" s="12">
        <f t="shared" si="1"/>
        <v>0.625</v>
      </c>
      <c r="C9" s="12">
        <f t="shared" si="2"/>
        <v>0.3548387097</v>
      </c>
      <c r="D9" s="12"/>
      <c r="E9" s="21" t="b">
        <v>1</v>
      </c>
      <c r="F9" s="21" t="b">
        <v>1</v>
      </c>
      <c r="G9" s="21" t="b">
        <v>1</v>
      </c>
      <c r="H9" s="21" t="b">
        <v>1</v>
      </c>
      <c r="I9" s="21" t="b">
        <v>1</v>
      </c>
      <c r="J9" s="21" t="b">
        <v>0</v>
      </c>
      <c r="K9" s="21" t="b">
        <v>0</v>
      </c>
      <c r="L9" s="21" t="b">
        <v>0</v>
      </c>
      <c r="M9" s="21" t="b">
        <v>0</v>
      </c>
      <c r="N9" s="21" t="b">
        <v>0</v>
      </c>
      <c r="O9" s="21" t="b">
        <v>0</v>
      </c>
      <c r="P9" s="21" t="b">
        <v>1</v>
      </c>
      <c r="Q9" s="21" t="b">
        <v>1</v>
      </c>
      <c r="R9" s="21" t="b">
        <v>1</v>
      </c>
      <c r="S9" s="21" t="b">
        <v>1</v>
      </c>
      <c r="T9" s="21" t="b">
        <v>1</v>
      </c>
      <c r="U9" s="21" t="b">
        <v>1</v>
      </c>
      <c r="V9" s="21" t="b">
        <v>0</v>
      </c>
      <c r="W9" s="21" t="b">
        <v>0</v>
      </c>
      <c r="X9" s="21" t="b">
        <v>0</v>
      </c>
      <c r="Y9" s="21" t="b">
        <v>0</v>
      </c>
      <c r="Z9" s="21" t="b">
        <v>0</v>
      </c>
      <c r="AA9" s="21" t="b">
        <v>0</v>
      </c>
      <c r="AB9" s="21" t="b">
        <v>0</v>
      </c>
      <c r="AC9" s="21" t="b">
        <v>0</v>
      </c>
      <c r="AD9" s="21" t="b">
        <v>0</v>
      </c>
      <c r="AE9" s="21" t="b">
        <v>0</v>
      </c>
      <c r="AF9" s="21" t="b">
        <v>0</v>
      </c>
      <c r="AG9" s="21" t="b">
        <v>0</v>
      </c>
      <c r="AH9" s="21" t="b">
        <v>0</v>
      </c>
      <c r="AI9" s="21" t="b">
        <v>0</v>
      </c>
      <c r="AJ9" s="21"/>
    </row>
    <row r="10">
      <c r="A10" s="26" t="s">
        <v>57</v>
      </c>
      <c r="B10" s="12">
        <f t="shared" si="1"/>
        <v>0.6875</v>
      </c>
      <c r="C10" s="12">
        <f t="shared" si="2"/>
        <v>0.3870967742</v>
      </c>
      <c r="D10" s="12"/>
      <c r="E10" s="21" t="b">
        <v>0</v>
      </c>
      <c r="F10" s="21" t="b">
        <v>1</v>
      </c>
      <c r="G10" s="21" t="b">
        <v>1</v>
      </c>
      <c r="H10" s="21" t="b">
        <v>1</v>
      </c>
      <c r="I10" s="21" t="b">
        <v>1</v>
      </c>
      <c r="J10" s="21" t="b">
        <v>0</v>
      </c>
      <c r="K10" s="21" t="b">
        <v>0</v>
      </c>
      <c r="L10" s="21" t="b">
        <v>0</v>
      </c>
      <c r="M10" s="21" t="b">
        <v>1</v>
      </c>
      <c r="N10" s="21" t="b">
        <v>0</v>
      </c>
      <c r="O10" s="21" t="b">
        <v>1</v>
      </c>
      <c r="P10" s="21" t="b">
        <v>1</v>
      </c>
      <c r="Q10" s="21" t="b">
        <v>1</v>
      </c>
      <c r="R10" s="21" t="b">
        <v>1</v>
      </c>
      <c r="S10" s="21" t="b">
        <v>1</v>
      </c>
      <c r="T10" s="21" t="b">
        <v>1</v>
      </c>
      <c r="U10" s="21" t="b">
        <v>1</v>
      </c>
      <c r="V10" s="21" t="b">
        <v>0</v>
      </c>
      <c r="W10" s="21" t="b">
        <v>0</v>
      </c>
      <c r="X10" s="21" t="b">
        <v>0</v>
      </c>
      <c r="Y10" s="21" t="b">
        <v>0</v>
      </c>
      <c r="Z10" s="21" t="b">
        <v>0</v>
      </c>
      <c r="AA10" s="21" t="b">
        <v>0</v>
      </c>
      <c r="AB10" s="21" t="b">
        <v>0</v>
      </c>
      <c r="AC10" s="21" t="b">
        <v>0</v>
      </c>
      <c r="AD10" s="21" t="b">
        <v>0</v>
      </c>
      <c r="AE10" s="21" t="b">
        <v>0</v>
      </c>
      <c r="AF10" s="21" t="b">
        <v>0</v>
      </c>
      <c r="AG10" s="21" t="b">
        <v>0</v>
      </c>
      <c r="AH10" s="21" t="b">
        <v>0</v>
      </c>
      <c r="AI10" s="21" t="b">
        <v>0</v>
      </c>
      <c r="AJ10" s="21"/>
    </row>
    <row r="11">
      <c r="A11" s="39" t="s">
        <v>58</v>
      </c>
      <c r="B11" s="12">
        <f t="shared" si="1"/>
        <v>0.375</v>
      </c>
      <c r="C11" s="12">
        <f t="shared" si="2"/>
        <v>0.1935483871</v>
      </c>
      <c r="D11" s="12"/>
      <c r="E11" s="21" t="b">
        <v>1</v>
      </c>
      <c r="F11" s="21" t="b">
        <v>1</v>
      </c>
      <c r="G11" s="21" t="b">
        <v>0</v>
      </c>
      <c r="H11" s="21" t="b">
        <v>0</v>
      </c>
      <c r="I11" s="21" t="b">
        <v>0</v>
      </c>
      <c r="J11" s="21" t="b">
        <v>0</v>
      </c>
      <c r="K11" s="21" t="b">
        <v>0</v>
      </c>
      <c r="L11" s="21" t="b">
        <v>0</v>
      </c>
      <c r="M11" s="21" t="b">
        <v>0</v>
      </c>
      <c r="N11" s="21" t="b">
        <v>0</v>
      </c>
      <c r="O11" s="21" t="b">
        <v>0</v>
      </c>
      <c r="P11" s="21" t="b">
        <v>1</v>
      </c>
      <c r="Q11" s="21" t="b">
        <v>0</v>
      </c>
      <c r="R11" s="21" t="b">
        <v>1</v>
      </c>
      <c r="S11" s="21" t="b">
        <v>1</v>
      </c>
      <c r="T11" s="21" t="b">
        <v>1</v>
      </c>
      <c r="U11" s="21" t="b">
        <v>0</v>
      </c>
      <c r="V11" s="21" t="b">
        <v>0</v>
      </c>
      <c r="W11" s="21" t="b">
        <v>0</v>
      </c>
      <c r="X11" s="21" t="b">
        <v>0</v>
      </c>
      <c r="Y11" s="21" t="b">
        <v>0</v>
      </c>
      <c r="Z11" s="21" t="b">
        <v>0</v>
      </c>
      <c r="AA11" s="21" t="b">
        <v>0</v>
      </c>
      <c r="AB11" s="21" t="b">
        <v>0</v>
      </c>
      <c r="AC11" s="21" t="b">
        <v>0</v>
      </c>
      <c r="AD11" s="21" t="b">
        <v>0</v>
      </c>
      <c r="AE11" s="21" t="b">
        <v>0</v>
      </c>
      <c r="AF11" s="21" t="b">
        <v>0</v>
      </c>
      <c r="AG11" s="21" t="b">
        <v>0</v>
      </c>
      <c r="AH11" s="21" t="b">
        <v>0</v>
      </c>
      <c r="AI11" s="21" t="b">
        <v>0</v>
      </c>
      <c r="AJ11" s="21"/>
    </row>
    <row r="12">
      <c r="A12" s="26" t="s">
        <v>59</v>
      </c>
      <c r="B12" s="12">
        <f t="shared" si="1"/>
        <v>0.5625</v>
      </c>
      <c r="C12" s="12">
        <f t="shared" si="2"/>
        <v>0.3225806452</v>
      </c>
      <c r="D12" s="12"/>
      <c r="E12" s="21" t="b">
        <v>1</v>
      </c>
      <c r="F12" s="21" t="b">
        <v>1</v>
      </c>
      <c r="G12" s="21" t="b">
        <v>0</v>
      </c>
      <c r="H12" s="21" t="b">
        <v>1</v>
      </c>
      <c r="I12" s="21" t="b">
        <v>0</v>
      </c>
      <c r="J12" s="21" t="b">
        <v>0</v>
      </c>
      <c r="K12" s="21" t="b">
        <v>0</v>
      </c>
      <c r="L12" s="21" t="b">
        <v>0</v>
      </c>
      <c r="M12" s="21" t="b">
        <v>1</v>
      </c>
      <c r="N12" s="21" t="b">
        <v>0</v>
      </c>
      <c r="O12" s="21" t="b">
        <v>0</v>
      </c>
      <c r="P12" s="21" t="b">
        <v>1</v>
      </c>
      <c r="Q12" s="21" t="b">
        <v>1</v>
      </c>
      <c r="R12" s="21" t="b">
        <v>1</v>
      </c>
      <c r="S12" s="21" t="b">
        <v>1</v>
      </c>
      <c r="T12" s="21" t="b">
        <v>1</v>
      </c>
      <c r="U12" s="21" t="b">
        <v>1</v>
      </c>
      <c r="V12" s="21" t="b">
        <v>0</v>
      </c>
      <c r="W12" s="21" t="b">
        <v>0</v>
      </c>
      <c r="X12" s="21" t="b">
        <v>0</v>
      </c>
      <c r="Y12" s="21" t="b">
        <v>0</v>
      </c>
      <c r="Z12" s="21" t="b">
        <v>0</v>
      </c>
      <c r="AA12" s="21" t="b">
        <v>0</v>
      </c>
      <c r="AB12" s="21" t="b">
        <v>0</v>
      </c>
      <c r="AC12" s="21" t="b">
        <v>0</v>
      </c>
      <c r="AD12" s="21" t="b">
        <v>0</v>
      </c>
      <c r="AE12" s="21" t="b">
        <v>0</v>
      </c>
      <c r="AF12" s="21" t="b">
        <v>0</v>
      </c>
      <c r="AG12" s="21" t="b">
        <v>0</v>
      </c>
      <c r="AH12" s="21" t="b">
        <v>0</v>
      </c>
      <c r="AI12" s="21" t="b">
        <v>0</v>
      </c>
      <c r="AJ12" s="21"/>
    </row>
    <row r="13">
      <c r="A13" s="26" t="s">
        <v>60</v>
      </c>
      <c r="B13" s="12">
        <f t="shared" si="1"/>
        <v>0.5</v>
      </c>
      <c r="C13" s="12">
        <f t="shared" si="2"/>
        <v>0.2580645161</v>
      </c>
      <c r="D13" s="12"/>
      <c r="E13" s="21" t="b">
        <v>1</v>
      </c>
      <c r="F13" s="21" t="b">
        <v>1</v>
      </c>
      <c r="G13" s="21" t="b">
        <v>1</v>
      </c>
      <c r="H13" s="21" t="b">
        <v>0</v>
      </c>
      <c r="I13" s="21" t="b">
        <v>0</v>
      </c>
      <c r="J13" s="21" t="b">
        <v>0</v>
      </c>
      <c r="K13" s="21" t="b">
        <v>0</v>
      </c>
      <c r="L13" s="21" t="b">
        <v>0</v>
      </c>
      <c r="M13" s="21" t="b">
        <v>0</v>
      </c>
      <c r="N13" s="21" t="b">
        <v>0</v>
      </c>
      <c r="O13" s="21" t="b">
        <v>0</v>
      </c>
      <c r="P13" s="21" t="b">
        <v>1</v>
      </c>
      <c r="Q13" s="21" t="b">
        <v>1</v>
      </c>
      <c r="R13" s="21" t="b">
        <v>1</v>
      </c>
      <c r="S13" s="21" t="b">
        <v>1</v>
      </c>
      <c r="T13" s="21" t="b">
        <v>1</v>
      </c>
      <c r="U13" s="21" t="b">
        <v>0</v>
      </c>
      <c r="V13" s="21" t="b">
        <v>0</v>
      </c>
      <c r="W13" s="21" t="b">
        <v>0</v>
      </c>
      <c r="X13" s="21" t="b">
        <v>0</v>
      </c>
      <c r="Y13" s="21" t="b">
        <v>0</v>
      </c>
      <c r="Z13" s="21" t="b">
        <v>0</v>
      </c>
      <c r="AA13" s="21" t="b">
        <v>0</v>
      </c>
      <c r="AB13" s="21" t="b">
        <v>0</v>
      </c>
      <c r="AC13" s="21" t="b">
        <v>0</v>
      </c>
      <c r="AD13" s="21" t="b">
        <v>0</v>
      </c>
      <c r="AE13" s="21" t="b">
        <v>0</v>
      </c>
      <c r="AF13" s="21" t="b">
        <v>0</v>
      </c>
      <c r="AG13" s="21" t="b">
        <v>0</v>
      </c>
      <c r="AH13" s="21" t="b">
        <v>0</v>
      </c>
      <c r="AI13" s="21" t="b">
        <v>0</v>
      </c>
      <c r="AJ13" s="21"/>
    </row>
    <row r="14">
      <c r="A14" s="26" t="s">
        <v>61</v>
      </c>
      <c r="B14" s="12">
        <f t="shared" si="1"/>
        <v>0.875</v>
      </c>
      <c r="C14" s="12">
        <f t="shared" si="2"/>
        <v>0.4838709677</v>
      </c>
      <c r="D14" s="10" t="s">
        <v>31</v>
      </c>
      <c r="E14" s="21" t="b">
        <v>1</v>
      </c>
      <c r="F14" s="21" t="b">
        <v>1</v>
      </c>
      <c r="G14" s="21" t="b">
        <v>1</v>
      </c>
      <c r="H14" s="21" t="b">
        <v>1</v>
      </c>
      <c r="I14" s="21" t="b">
        <v>1</v>
      </c>
      <c r="J14" s="21" t="b">
        <v>1</v>
      </c>
      <c r="K14" s="21" t="b">
        <v>1</v>
      </c>
      <c r="L14" s="21" t="b">
        <v>1</v>
      </c>
      <c r="M14" s="21" t="b">
        <v>1</v>
      </c>
      <c r="N14" s="21" t="b">
        <v>0</v>
      </c>
      <c r="O14" s="21" t="b">
        <v>0</v>
      </c>
      <c r="P14" s="21" t="b">
        <v>1</v>
      </c>
      <c r="Q14" s="21" t="b">
        <v>1</v>
      </c>
      <c r="R14" s="21" t="b">
        <v>1</v>
      </c>
      <c r="S14" s="21" t="b">
        <v>1</v>
      </c>
      <c r="T14" s="21" t="b">
        <v>1</v>
      </c>
      <c r="U14" s="21" t="b">
        <v>1</v>
      </c>
      <c r="V14" s="21" t="b">
        <v>0</v>
      </c>
      <c r="W14" s="21" t="b">
        <v>0</v>
      </c>
      <c r="X14" s="21" t="b">
        <v>0</v>
      </c>
      <c r="Y14" s="21" t="b">
        <v>0</v>
      </c>
      <c r="Z14" s="21" t="b">
        <v>0</v>
      </c>
      <c r="AA14" s="21" t="b">
        <v>0</v>
      </c>
      <c r="AB14" s="21" t="b">
        <v>0</v>
      </c>
      <c r="AC14" s="21" t="b">
        <v>0</v>
      </c>
      <c r="AD14" s="21" t="b">
        <v>0</v>
      </c>
      <c r="AE14" s="21" t="b">
        <v>0</v>
      </c>
      <c r="AF14" s="21" t="b">
        <v>0</v>
      </c>
      <c r="AG14" s="21" t="b">
        <v>0</v>
      </c>
      <c r="AH14" s="21" t="b">
        <v>0</v>
      </c>
      <c r="AI14" s="21" t="b">
        <v>0</v>
      </c>
      <c r="AJ14" s="21"/>
    </row>
    <row r="15">
      <c r="A15" s="26" t="s">
        <v>62</v>
      </c>
      <c r="B15" s="12">
        <f t="shared" si="1"/>
        <v>0.4375</v>
      </c>
      <c r="C15" s="12">
        <f t="shared" si="2"/>
        <v>0.2258064516</v>
      </c>
      <c r="D15" s="12"/>
      <c r="E15" s="21" t="b">
        <v>1</v>
      </c>
      <c r="F15" s="21" t="b">
        <v>1</v>
      </c>
      <c r="G15" s="21" t="b">
        <v>0</v>
      </c>
      <c r="H15" s="21" t="b">
        <v>0</v>
      </c>
      <c r="I15" s="21" t="b">
        <v>0</v>
      </c>
      <c r="J15" s="21" t="b">
        <v>0</v>
      </c>
      <c r="K15" s="21" t="b">
        <v>0</v>
      </c>
      <c r="L15" s="21" t="b">
        <v>0</v>
      </c>
      <c r="M15" s="21" t="b">
        <v>0</v>
      </c>
      <c r="N15" s="21" t="b">
        <v>0</v>
      </c>
      <c r="O15" s="21" t="b">
        <v>0</v>
      </c>
      <c r="P15" s="21" t="b">
        <v>1</v>
      </c>
      <c r="Q15" s="21" t="b">
        <v>1</v>
      </c>
      <c r="R15" s="21" t="b">
        <v>1</v>
      </c>
      <c r="S15" s="21" t="b">
        <v>1</v>
      </c>
      <c r="T15" s="21" t="b">
        <v>1</v>
      </c>
      <c r="U15" s="21" t="b">
        <v>0</v>
      </c>
      <c r="V15" s="21" t="b">
        <v>0</v>
      </c>
      <c r="W15" s="21" t="b">
        <v>0</v>
      </c>
      <c r="X15" s="21" t="b">
        <v>0</v>
      </c>
      <c r="Y15" s="21" t="b">
        <v>0</v>
      </c>
      <c r="Z15" s="21" t="b">
        <v>0</v>
      </c>
      <c r="AA15" s="21" t="b">
        <v>0</v>
      </c>
      <c r="AB15" s="21" t="b">
        <v>0</v>
      </c>
      <c r="AC15" s="21" t="b">
        <v>0</v>
      </c>
      <c r="AD15" s="21" t="b">
        <v>0</v>
      </c>
      <c r="AE15" s="21" t="b">
        <v>0</v>
      </c>
      <c r="AF15" s="21" t="b">
        <v>0</v>
      </c>
      <c r="AG15" s="21" t="b">
        <v>0</v>
      </c>
      <c r="AH15" s="21" t="b">
        <v>0</v>
      </c>
      <c r="AI15" s="21" t="b">
        <v>0</v>
      </c>
      <c r="AJ15" s="21"/>
    </row>
    <row r="16">
      <c r="A16" s="26" t="s">
        <v>63</v>
      </c>
      <c r="B16" s="12">
        <f t="shared" si="1"/>
        <v>0.5625</v>
      </c>
      <c r="C16" s="12">
        <f t="shared" si="2"/>
        <v>0.3870967742</v>
      </c>
      <c r="D16" s="10" t="s">
        <v>31</v>
      </c>
      <c r="E16" s="21" t="b">
        <v>1</v>
      </c>
      <c r="F16" s="21" t="b">
        <v>1</v>
      </c>
      <c r="G16" s="21" t="b">
        <v>0</v>
      </c>
      <c r="H16" s="21" t="b">
        <v>1</v>
      </c>
      <c r="I16" s="21" t="b">
        <v>0</v>
      </c>
      <c r="J16" s="21" t="b">
        <v>0</v>
      </c>
      <c r="K16" s="21" t="b">
        <v>0</v>
      </c>
      <c r="L16" s="21" t="b">
        <v>0</v>
      </c>
      <c r="M16" s="21" t="b">
        <v>1</v>
      </c>
      <c r="N16" s="21" t="b">
        <v>0</v>
      </c>
      <c r="O16" s="21" t="b">
        <v>0</v>
      </c>
      <c r="P16" s="21" t="b">
        <v>1</v>
      </c>
      <c r="Q16" s="21" t="b">
        <v>1</v>
      </c>
      <c r="R16" s="21" t="b">
        <v>1</v>
      </c>
      <c r="S16" s="21" t="b">
        <v>1</v>
      </c>
      <c r="T16" s="21" t="b">
        <v>1</v>
      </c>
      <c r="U16" s="21" t="b">
        <v>1</v>
      </c>
      <c r="V16" s="21" t="b">
        <v>1</v>
      </c>
      <c r="W16" s="21" t="b">
        <v>0</v>
      </c>
      <c r="X16" s="21" t="b">
        <v>0</v>
      </c>
      <c r="Y16" s="21" t="b">
        <v>0</v>
      </c>
      <c r="Z16" s="21" t="b">
        <v>0</v>
      </c>
      <c r="AA16" s="21" t="b">
        <v>0</v>
      </c>
      <c r="AB16" s="21" t="b">
        <v>0</v>
      </c>
      <c r="AC16" s="21" t="b">
        <v>0</v>
      </c>
      <c r="AD16" s="21" t="b">
        <v>0</v>
      </c>
      <c r="AE16" s="21" t="b">
        <v>1</v>
      </c>
      <c r="AF16" s="21" t="b">
        <v>0</v>
      </c>
      <c r="AG16" s="21" t="b">
        <v>0</v>
      </c>
      <c r="AH16" s="21" t="b">
        <v>0</v>
      </c>
      <c r="AI16" s="21" t="b">
        <v>0</v>
      </c>
      <c r="AJ16" s="21"/>
    </row>
    <row r="17">
      <c r="A17" s="10" t="s">
        <v>64</v>
      </c>
      <c r="B17" s="10">
        <v>16.0</v>
      </c>
      <c r="C17" s="10">
        <v>31.0</v>
      </c>
      <c r="E17" s="42">
        <f t="shared" ref="E17:AI17" si="3">COUNTIF(E2:E16, TRUE)</f>
        <v>14</v>
      </c>
      <c r="F17" s="42">
        <f t="shared" si="3"/>
        <v>15</v>
      </c>
      <c r="G17" s="42">
        <f t="shared" si="3"/>
        <v>9</v>
      </c>
      <c r="H17" s="42">
        <f t="shared" si="3"/>
        <v>10</v>
      </c>
      <c r="I17" s="42">
        <f t="shared" si="3"/>
        <v>7</v>
      </c>
      <c r="J17" s="42">
        <f t="shared" si="3"/>
        <v>4</v>
      </c>
      <c r="K17" s="42">
        <f t="shared" si="3"/>
        <v>8</v>
      </c>
      <c r="L17" s="42">
        <f t="shared" si="3"/>
        <v>8</v>
      </c>
      <c r="M17" s="42">
        <f t="shared" si="3"/>
        <v>8</v>
      </c>
      <c r="N17" s="42">
        <f t="shared" si="3"/>
        <v>1</v>
      </c>
      <c r="O17" s="42">
        <f t="shared" si="3"/>
        <v>2</v>
      </c>
      <c r="P17" s="42">
        <f t="shared" si="3"/>
        <v>15</v>
      </c>
      <c r="Q17" s="42">
        <f t="shared" si="3"/>
        <v>14</v>
      </c>
      <c r="R17" s="42">
        <f t="shared" si="3"/>
        <v>15</v>
      </c>
      <c r="S17" s="42">
        <f t="shared" si="3"/>
        <v>15</v>
      </c>
      <c r="T17" s="42">
        <f t="shared" si="3"/>
        <v>15</v>
      </c>
      <c r="U17" s="42">
        <f t="shared" si="3"/>
        <v>6</v>
      </c>
      <c r="V17" s="42">
        <f t="shared" si="3"/>
        <v>1</v>
      </c>
      <c r="W17" s="42">
        <f t="shared" si="3"/>
        <v>0</v>
      </c>
      <c r="X17" s="42">
        <f t="shared" si="3"/>
        <v>0</v>
      </c>
      <c r="Y17" s="42">
        <f t="shared" si="3"/>
        <v>0</v>
      </c>
      <c r="Z17" s="42">
        <f t="shared" si="3"/>
        <v>0</v>
      </c>
      <c r="AA17" s="42">
        <f t="shared" si="3"/>
        <v>0</v>
      </c>
      <c r="AB17" s="42">
        <f t="shared" si="3"/>
        <v>0</v>
      </c>
      <c r="AC17" s="42">
        <f t="shared" si="3"/>
        <v>0</v>
      </c>
      <c r="AD17" s="42">
        <f t="shared" si="3"/>
        <v>0</v>
      </c>
      <c r="AE17" s="42">
        <f t="shared" si="3"/>
        <v>2</v>
      </c>
      <c r="AF17" s="42">
        <f t="shared" si="3"/>
        <v>0</v>
      </c>
      <c r="AG17" s="42">
        <f t="shared" si="3"/>
        <v>0</v>
      </c>
      <c r="AH17" s="42">
        <f t="shared" si="3"/>
        <v>0</v>
      </c>
      <c r="AI17" s="42">
        <f t="shared" si="3"/>
        <v>0</v>
      </c>
    </row>
    <row r="19">
      <c r="E19" s="32" t="s">
        <v>65</v>
      </c>
    </row>
    <row r="20">
      <c r="E20" s="34" t="s">
        <v>66</v>
      </c>
    </row>
    <row r="21">
      <c r="E21" s="36" t="s">
        <v>28</v>
      </c>
    </row>
    <row r="22">
      <c r="E22" s="37" t="s">
        <v>68</v>
      </c>
    </row>
  </sheetData>
  <conditionalFormatting sqref="E2:AJ16">
    <cfRule type="cellIs" dxfId="0" priority="1" operator="equal">
      <formula>"TRUE"</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7.25"/>
    <col customWidth="1" min="3" max="4" width="7.38"/>
  </cols>
  <sheetData>
    <row r="1">
      <c r="B1" s="10" t="s">
        <v>29</v>
      </c>
      <c r="C1" s="10" t="s">
        <v>30</v>
      </c>
      <c r="D1" s="10" t="s">
        <v>31</v>
      </c>
      <c r="E1" s="21" t="s">
        <v>198</v>
      </c>
      <c r="F1" s="21" t="s">
        <v>199</v>
      </c>
      <c r="G1" s="21" t="s">
        <v>200</v>
      </c>
      <c r="H1" s="21" t="s">
        <v>201</v>
      </c>
      <c r="I1" s="21" t="s">
        <v>202</v>
      </c>
      <c r="J1" s="21" t="s">
        <v>203</v>
      </c>
      <c r="K1" s="21" t="s">
        <v>204</v>
      </c>
      <c r="L1" s="21" t="s">
        <v>205</v>
      </c>
      <c r="M1" s="21" t="s">
        <v>206</v>
      </c>
      <c r="N1" s="21" t="s">
        <v>207</v>
      </c>
      <c r="O1" s="21" t="s">
        <v>208</v>
      </c>
      <c r="P1" s="21" t="s">
        <v>209</v>
      </c>
      <c r="Q1" s="23" t="s">
        <v>210</v>
      </c>
      <c r="R1" s="23" t="s">
        <v>210</v>
      </c>
      <c r="S1" s="23" t="s">
        <v>210</v>
      </c>
      <c r="T1" s="23" t="s">
        <v>210</v>
      </c>
      <c r="U1" s="23" t="s">
        <v>41</v>
      </c>
      <c r="V1" s="23" t="s">
        <v>41</v>
      </c>
      <c r="W1" s="23" t="s">
        <v>41</v>
      </c>
      <c r="X1" s="23" t="s">
        <v>41</v>
      </c>
      <c r="Y1" s="23" t="s">
        <v>211</v>
      </c>
      <c r="Z1" s="23" t="s">
        <v>211</v>
      </c>
      <c r="AA1" s="25" t="s">
        <v>48</v>
      </c>
      <c r="AB1" s="25" t="s">
        <v>48</v>
      </c>
      <c r="AC1" s="24" t="s">
        <v>212</v>
      </c>
      <c r="AD1" s="24" t="s">
        <v>213</v>
      </c>
      <c r="AE1" s="24" t="s">
        <v>214</v>
      </c>
      <c r="AF1" s="24" t="s">
        <v>215</v>
      </c>
      <c r="AG1" s="24" t="s">
        <v>216</v>
      </c>
      <c r="AH1" s="24" t="s">
        <v>217</v>
      </c>
      <c r="AI1" s="24" t="s">
        <v>218</v>
      </c>
    </row>
    <row r="2">
      <c r="A2" s="26" t="s">
        <v>49</v>
      </c>
      <c r="B2" s="12">
        <f t="shared" ref="B2:B16" si="1">COUNTIF(E2:Z2, TRUE) / COUNTA(E2:Z2)</f>
        <v>0.8181818182</v>
      </c>
      <c r="C2" s="12">
        <f t="shared" ref="C2:C16" si="2">COUNTIF(E2:AI2, TRUE) / COUNTA(E2:AI2)</f>
        <v>0.5806451613</v>
      </c>
      <c r="D2" s="12"/>
      <c r="E2" s="21" t="b">
        <v>0</v>
      </c>
      <c r="F2" s="21" t="b">
        <v>1</v>
      </c>
      <c r="G2" s="21" t="b">
        <v>0</v>
      </c>
      <c r="H2" s="21" t="b">
        <v>0</v>
      </c>
      <c r="I2" s="21" t="b">
        <v>1</v>
      </c>
      <c r="J2" s="21" t="b">
        <v>1</v>
      </c>
      <c r="K2" s="21" t="b">
        <v>1</v>
      </c>
      <c r="L2" s="21" t="b">
        <v>1</v>
      </c>
      <c r="M2" s="21" t="b">
        <v>1</v>
      </c>
      <c r="N2" s="21" t="b">
        <v>1</v>
      </c>
      <c r="O2" s="21" t="b">
        <v>1</v>
      </c>
      <c r="P2" s="21" t="b">
        <v>0</v>
      </c>
      <c r="Q2" s="21" t="b">
        <v>1</v>
      </c>
      <c r="R2" s="21" t="b">
        <v>1</v>
      </c>
      <c r="S2" s="21" t="b">
        <v>1</v>
      </c>
      <c r="T2" s="21" t="b">
        <v>1</v>
      </c>
      <c r="U2" s="21" t="b">
        <v>1</v>
      </c>
      <c r="V2" s="21" t="b">
        <v>1</v>
      </c>
      <c r="W2" s="21" t="b">
        <v>1</v>
      </c>
      <c r="X2" s="21" t="b">
        <v>1</v>
      </c>
      <c r="Y2" s="21" t="b">
        <v>1</v>
      </c>
      <c r="Z2" s="21" t="b">
        <v>1</v>
      </c>
      <c r="AA2" s="21" t="b">
        <v>0</v>
      </c>
      <c r="AB2" s="21" t="b">
        <v>0</v>
      </c>
      <c r="AC2" s="21" t="b">
        <v>0</v>
      </c>
      <c r="AD2" s="21" t="b">
        <v>0</v>
      </c>
      <c r="AE2" s="21" t="b">
        <v>0</v>
      </c>
      <c r="AF2" s="21" t="b">
        <v>0</v>
      </c>
      <c r="AG2" s="21" t="b">
        <v>0</v>
      </c>
      <c r="AH2" s="21" t="b">
        <v>0</v>
      </c>
      <c r="AI2" s="21" t="b">
        <v>0</v>
      </c>
    </row>
    <row r="3">
      <c r="A3" s="26" t="s">
        <v>50</v>
      </c>
      <c r="B3" s="12">
        <f t="shared" si="1"/>
        <v>0.8636363636</v>
      </c>
      <c r="C3" s="12">
        <f t="shared" si="2"/>
        <v>0.6129032258</v>
      </c>
      <c r="D3" s="12"/>
      <c r="E3" s="21" t="b">
        <v>1</v>
      </c>
      <c r="F3" s="21" t="b">
        <v>0</v>
      </c>
      <c r="G3" s="21" t="b">
        <v>1</v>
      </c>
      <c r="H3" s="21" t="b">
        <v>1</v>
      </c>
      <c r="I3" s="21" t="b">
        <v>0</v>
      </c>
      <c r="J3" s="21" t="b">
        <v>0</v>
      </c>
      <c r="K3" s="21" t="b">
        <v>1</v>
      </c>
      <c r="L3" s="21" t="b">
        <v>1</v>
      </c>
      <c r="M3" s="21" t="b">
        <v>1</v>
      </c>
      <c r="N3" s="21" t="b">
        <v>1</v>
      </c>
      <c r="O3" s="21" t="b">
        <v>1</v>
      </c>
      <c r="P3" s="21" t="b">
        <v>1</v>
      </c>
      <c r="Q3" s="21" t="b">
        <v>1</v>
      </c>
      <c r="R3" s="21" t="b">
        <v>1</v>
      </c>
      <c r="S3" s="21" t="b">
        <v>1</v>
      </c>
      <c r="T3" s="21" t="b">
        <v>1</v>
      </c>
      <c r="U3" s="21" t="b">
        <v>1</v>
      </c>
      <c r="V3" s="21" t="b">
        <v>1</v>
      </c>
      <c r="W3" s="21" t="b">
        <v>1</v>
      </c>
      <c r="X3" s="21" t="b">
        <v>1</v>
      </c>
      <c r="Y3" s="21" t="b">
        <v>1</v>
      </c>
      <c r="Z3" s="21" t="b">
        <v>1</v>
      </c>
      <c r="AA3" s="21" t="b">
        <v>0</v>
      </c>
      <c r="AB3" s="21" t="b">
        <v>0</v>
      </c>
      <c r="AC3" s="21" t="b">
        <v>0</v>
      </c>
      <c r="AD3" s="21" t="b">
        <v>0</v>
      </c>
      <c r="AE3" s="21" t="b">
        <v>0</v>
      </c>
      <c r="AF3" s="21" t="b">
        <v>0</v>
      </c>
      <c r="AG3" s="21" t="b">
        <v>0</v>
      </c>
      <c r="AH3" s="21" t="b">
        <v>0</v>
      </c>
      <c r="AI3" s="21" t="b">
        <v>0</v>
      </c>
    </row>
    <row r="4">
      <c r="A4" s="26" t="s">
        <v>51</v>
      </c>
      <c r="B4" s="12">
        <f t="shared" si="1"/>
        <v>0.9090909091</v>
      </c>
      <c r="C4" s="12">
        <f t="shared" si="2"/>
        <v>0.6774193548</v>
      </c>
      <c r="D4" s="12"/>
      <c r="E4" s="21" t="b">
        <v>1</v>
      </c>
      <c r="F4" s="21" t="b">
        <v>1</v>
      </c>
      <c r="G4" s="21" t="b">
        <v>1</v>
      </c>
      <c r="H4" s="21" t="b">
        <v>1</v>
      </c>
      <c r="I4" s="21" t="b">
        <v>0</v>
      </c>
      <c r="J4" s="21" t="b">
        <v>1</v>
      </c>
      <c r="K4" s="21" t="b">
        <v>1</v>
      </c>
      <c r="L4" s="21" t="b">
        <v>1</v>
      </c>
      <c r="M4" s="21" t="b">
        <v>1</v>
      </c>
      <c r="N4" s="21" t="b">
        <v>1</v>
      </c>
      <c r="O4" s="21" t="b">
        <v>1</v>
      </c>
      <c r="P4" s="21" t="b">
        <v>0</v>
      </c>
      <c r="Q4" s="21" t="b">
        <v>1</v>
      </c>
      <c r="R4" s="21" t="b">
        <v>1</v>
      </c>
      <c r="S4" s="21" t="b">
        <v>1</v>
      </c>
      <c r="T4" s="21" t="b">
        <v>1</v>
      </c>
      <c r="U4" s="21" t="b">
        <v>1</v>
      </c>
      <c r="V4" s="21" t="b">
        <v>1</v>
      </c>
      <c r="W4" s="21" t="b">
        <v>1</v>
      </c>
      <c r="X4" s="21" t="b">
        <v>1</v>
      </c>
      <c r="Y4" s="21" t="b">
        <v>1</v>
      </c>
      <c r="Z4" s="21" t="b">
        <v>1</v>
      </c>
      <c r="AA4" s="21" t="b">
        <v>1</v>
      </c>
      <c r="AB4" s="21" t="b">
        <v>0</v>
      </c>
      <c r="AC4" s="21" t="b">
        <v>0</v>
      </c>
      <c r="AD4" s="21" t="b">
        <v>0</v>
      </c>
      <c r="AE4" s="21" t="b">
        <v>0</v>
      </c>
      <c r="AF4" s="21" t="b">
        <v>0</v>
      </c>
      <c r="AG4" s="21" t="b">
        <v>0</v>
      </c>
      <c r="AH4" s="21" t="b">
        <v>0</v>
      </c>
      <c r="AI4" s="21" t="b">
        <v>0</v>
      </c>
    </row>
    <row r="5">
      <c r="A5" s="26" t="s">
        <v>52</v>
      </c>
      <c r="B5" s="12">
        <f t="shared" si="1"/>
        <v>0.8181818182</v>
      </c>
      <c r="C5" s="12">
        <f t="shared" si="2"/>
        <v>0.5806451613</v>
      </c>
      <c r="D5" s="12"/>
      <c r="E5" s="21" t="b">
        <v>1</v>
      </c>
      <c r="F5" s="21" t="b">
        <v>1</v>
      </c>
      <c r="G5" s="21" t="b">
        <v>0</v>
      </c>
      <c r="H5" s="21" t="b">
        <v>0</v>
      </c>
      <c r="I5" s="21" t="b">
        <v>1</v>
      </c>
      <c r="J5" s="21" t="b">
        <v>0</v>
      </c>
      <c r="K5" s="21" t="b">
        <v>1</v>
      </c>
      <c r="L5" s="21" t="b">
        <v>1</v>
      </c>
      <c r="M5" s="21" t="b">
        <v>1</v>
      </c>
      <c r="N5" s="21" t="b">
        <v>1</v>
      </c>
      <c r="O5" s="21" t="b">
        <v>1</v>
      </c>
      <c r="P5" s="21" t="b">
        <v>0</v>
      </c>
      <c r="Q5" s="21" t="b">
        <v>1</v>
      </c>
      <c r="R5" s="21" t="b">
        <v>1</v>
      </c>
      <c r="S5" s="21" t="b">
        <v>1</v>
      </c>
      <c r="T5" s="21" t="b">
        <v>1</v>
      </c>
      <c r="U5" s="21" t="b">
        <v>1</v>
      </c>
      <c r="V5" s="21" t="b">
        <v>1</v>
      </c>
      <c r="W5" s="21" t="b">
        <v>1</v>
      </c>
      <c r="X5" s="21" t="b">
        <v>1</v>
      </c>
      <c r="Y5" s="21" t="b">
        <v>1</v>
      </c>
      <c r="Z5" s="21" t="b">
        <v>1</v>
      </c>
      <c r="AA5" s="21" t="b">
        <v>0</v>
      </c>
      <c r="AB5" s="21" t="b">
        <v>0</v>
      </c>
      <c r="AC5" s="21" t="b">
        <v>0</v>
      </c>
      <c r="AD5" s="21" t="b">
        <v>0</v>
      </c>
      <c r="AE5" s="21" t="b">
        <v>0</v>
      </c>
      <c r="AF5" s="21" t="b">
        <v>0</v>
      </c>
      <c r="AG5" s="21" t="b">
        <v>0</v>
      </c>
      <c r="AH5" s="21" t="b">
        <v>0</v>
      </c>
      <c r="AI5" s="21" t="b">
        <v>0</v>
      </c>
    </row>
    <row r="6">
      <c r="A6" s="26" t="s">
        <v>53</v>
      </c>
      <c r="B6" s="12">
        <f t="shared" si="1"/>
        <v>0.8181818182</v>
      </c>
      <c r="C6" s="12">
        <f t="shared" si="2"/>
        <v>0.5806451613</v>
      </c>
      <c r="D6" s="12"/>
      <c r="E6" s="21" t="b">
        <v>0</v>
      </c>
      <c r="F6" s="21" t="b">
        <v>1</v>
      </c>
      <c r="G6" s="21" t="b">
        <v>0</v>
      </c>
      <c r="H6" s="21" t="b">
        <v>0</v>
      </c>
      <c r="I6" s="21" t="b">
        <v>0</v>
      </c>
      <c r="J6" s="21" t="b">
        <v>1</v>
      </c>
      <c r="K6" s="21" t="b">
        <v>1</v>
      </c>
      <c r="L6" s="21" t="b">
        <v>1</v>
      </c>
      <c r="M6" s="21" t="b">
        <v>1</v>
      </c>
      <c r="N6" s="21" t="b">
        <v>1</v>
      </c>
      <c r="O6" s="21" t="b">
        <v>1</v>
      </c>
      <c r="P6" s="21" t="b">
        <v>1</v>
      </c>
      <c r="Q6" s="21" t="b">
        <v>1</v>
      </c>
      <c r="R6" s="21" t="b">
        <v>1</v>
      </c>
      <c r="S6" s="21" t="b">
        <v>1</v>
      </c>
      <c r="T6" s="21" t="b">
        <v>1</v>
      </c>
      <c r="U6" s="21" t="b">
        <v>1</v>
      </c>
      <c r="V6" s="21" t="b">
        <v>1</v>
      </c>
      <c r="W6" s="21" t="b">
        <v>1</v>
      </c>
      <c r="X6" s="21" t="b">
        <v>1</v>
      </c>
      <c r="Y6" s="21" t="b">
        <v>1</v>
      </c>
      <c r="Z6" s="21" t="b">
        <v>1</v>
      </c>
      <c r="AA6" s="21" t="b">
        <v>0</v>
      </c>
      <c r="AB6" s="21" t="b">
        <v>0</v>
      </c>
      <c r="AC6" s="21" t="b">
        <v>0</v>
      </c>
      <c r="AD6" s="21" t="b">
        <v>0</v>
      </c>
      <c r="AE6" s="21" t="b">
        <v>0</v>
      </c>
      <c r="AF6" s="21" t="b">
        <v>0</v>
      </c>
      <c r="AG6" s="21" t="b">
        <v>0</v>
      </c>
      <c r="AH6" s="21" t="b">
        <v>0</v>
      </c>
      <c r="AI6" s="21" t="b">
        <v>0</v>
      </c>
    </row>
    <row r="7">
      <c r="A7" s="26" t="s">
        <v>54</v>
      </c>
      <c r="B7" s="12">
        <f t="shared" si="1"/>
        <v>0.7272727273</v>
      </c>
      <c r="C7" s="12">
        <f t="shared" si="2"/>
        <v>0.5161290323</v>
      </c>
      <c r="D7" s="12"/>
      <c r="E7" s="21" t="b">
        <v>0</v>
      </c>
      <c r="F7" s="21" t="b">
        <v>0</v>
      </c>
      <c r="G7" s="21" t="b">
        <v>0</v>
      </c>
      <c r="H7" s="21" t="b">
        <v>0</v>
      </c>
      <c r="I7" s="21" t="b">
        <v>0</v>
      </c>
      <c r="J7" s="21" t="b">
        <v>1</v>
      </c>
      <c r="K7" s="21" t="b">
        <v>1</v>
      </c>
      <c r="L7" s="21" t="b">
        <v>1</v>
      </c>
      <c r="M7" s="21" t="b">
        <v>1</v>
      </c>
      <c r="N7" s="21" t="b">
        <v>1</v>
      </c>
      <c r="O7" s="21" t="b">
        <v>1</v>
      </c>
      <c r="P7" s="21" t="b">
        <v>0</v>
      </c>
      <c r="Q7" s="21" t="b">
        <v>1</v>
      </c>
      <c r="R7" s="21" t="b">
        <v>1</v>
      </c>
      <c r="S7" s="21" t="b">
        <v>1</v>
      </c>
      <c r="T7" s="21" t="b">
        <v>1</v>
      </c>
      <c r="U7" s="21" t="b">
        <v>1</v>
      </c>
      <c r="V7" s="21" t="b">
        <v>1</v>
      </c>
      <c r="W7" s="21" t="b">
        <v>1</v>
      </c>
      <c r="X7" s="21" t="b">
        <v>1</v>
      </c>
      <c r="Y7" s="21" t="b">
        <v>1</v>
      </c>
      <c r="Z7" s="21" t="b">
        <v>1</v>
      </c>
      <c r="AA7" s="21" t="b">
        <v>0</v>
      </c>
      <c r="AB7" s="21" t="b">
        <v>0</v>
      </c>
      <c r="AC7" s="21" t="b">
        <v>0</v>
      </c>
      <c r="AD7" s="21" t="b">
        <v>0</v>
      </c>
      <c r="AE7" s="21" t="b">
        <v>0</v>
      </c>
      <c r="AF7" s="21" t="b">
        <v>0</v>
      </c>
      <c r="AG7" s="21" t="b">
        <v>0</v>
      </c>
      <c r="AH7" s="21" t="b">
        <v>0</v>
      </c>
      <c r="AI7" s="21" t="b">
        <v>0</v>
      </c>
    </row>
    <row r="8">
      <c r="A8" s="26" t="s">
        <v>55</v>
      </c>
      <c r="B8" s="12">
        <f t="shared" si="1"/>
        <v>0.8636363636</v>
      </c>
      <c r="C8" s="12">
        <f t="shared" si="2"/>
        <v>0.6129032258</v>
      </c>
      <c r="D8" s="12"/>
      <c r="E8" s="21" t="b">
        <v>0</v>
      </c>
      <c r="F8" s="21" t="b">
        <v>1</v>
      </c>
      <c r="G8" s="21" t="b">
        <v>0</v>
      </c>
      <c r="H8" s="21" t="b">
        <v>0</v>
      </c>
      <c r="I8" s="21" t="b">
        <v>1</v>
      </c>
      <c r="J8" s="21" t="b">
        <v>1</v>
      </c>
      <c r="K8" s="21" t="b">
        <v>1</v>
      </c>
      <c r="L8" s="21" t="b">
        <v>1</v>
      </c>
      <c r="M8" s="21" t="b">
        <v>1</v>
      </c>
      <c r="N8" s="21" t="b">
        <v>1</v>
      </c>
      <c r="O8" s="21" t="b">
        <v>1</v>
      </c>
      <c r="P8" s="21" t="b">
        <v>1</v>
      </c>
      <c r="Q8" s="21" t="b">
        <v>1</v>
      </c>
      <c r="R8" s="21" t="b">
        <v>1</v>
      </c>
      <c r="S8" s="21" t="b">
        <v>1</v>
      </c>
      <c r="T8" s="21" t="b">
        <v>1</v>
      </c>
      <c r="U8" s="21" t="b">
        <v>1</v>
      </c>
      <c r="V8" s="21" t="b">
        <v>1</v>
      </c>
      <c r="W8" s="21" t="b">
        <v>1</v>
      </c>
      <c r="X8" s="21" t="b">
        <v>1</v>
      </c>
      <c r="Y8" s="21" t="b">
        <v>1</v>
      </c>
      <c r="Z8" s="21" t="b">
        <v>1</v>
      </c>
      <c r="AA8" s="21" t="b">
        <v>0</v>
      </c>
      <c r="AB8" s="21" t="b">
        <v>0</v>
      </c>
      <c r="AC8" s="21" t="b">
        <v>0</v>
      </c>
      <c r="AD8" s="21" t="b">
        <v>0</v>
      </c>
      <c r="AE8" s="21" t="b">
        <v>0</v>
      </c>
      <c r="AF8" s="21" t="b">
        <v>0</v>
      </c>
      <c r="AG8" s="21" t="b">
        <v>0</v>
      </c>
      <c r="AH8" s="21" t="b">
        <v>0</v>
      </c>
      <c r="AI8" s="21" t="b">
        <v>0</v>
      </c>
    </row>
    <row r="9">
      <c r="A9" s="26" t="s">
        <v>56</v>
      </c>
      <c r="B9" s="12">
        <f t="shared" si="1"/>
        <v>1</v>
      </c>
      <c r="C9" s="12">
        <f t="shared" si="2"/>
        <v>0.7096774194</v>
      </c>
      <c r="D9" s="12"/>
      <c r="E9" s="21" t="b">
        <v>1</v>
      </c>
      <c r="F9" s="21" t="b">
        <v>1</v>
      </c>
      <c r="G9" s="21" t="b">
        <v>1</v>
      </c>
      <c r="H9" s="21" t="b">
        <v>1</v>
      </c>
      <c r="I9" s="21" t="b">
        <v>1</v>
      </c>
      <c r="J9" s="21" t="b">
        <v>1</v>
      </c>
      <c r="K9" s="21" t="b">
        <v>1</v>
      </c>
      <c r="L9" s="21" t="b">
        <v>1</v>
      </c>
      <c r="M9" s="21" t="b">
        <v>1</v>
      </c>
      <c r="N9" s="21" t="b">
        <v>1</v>
      </c>
      <c r="O9" s="21" t="b">
        <v>1</v>
      </c>
      <c r="P9" s="21" t="b">
        <v>1</v>
      </c>
      <c r="Q9" s="21" t="b">
        <v>1</v>
      </c>
      <c r="R9" s="21" t="b">
        <v>1</v>
      </c>
      <c r="S9" s="21" t="b">
        <v>1</v>
      </c>
      <c r="T9" s="21" t="b">
        <v>1</v>
      </c>
      <c r="U9" s="21" t="b">
        <v>1</v>
      </c>
      <c r="V9" s="21" t="b">
        <v>1</v>
      </c>
      <c r="W9" s="21" t="b">
        <v>1</v>
      </c>
      <c r="X9" s="21" t="b">
        <v>1</v>
      </c>
      <c r="Y9" s="21" t="b">
        <v>1</v>
      </c>
      <c r="Z9" s="21" t="b">
        <v>1</v>
      </c>
      <c r="AA9" s="21" t="b">
        <v>0</v>
      </c>
      <c r="AB9" s="21" t="b">
        <v>0</v>
      </c>
      <c r="AC9" s="21" t="b">
        <v>0</v>
      </c>
      <c r="AD9" s="21" t="b">
        <v>0</v>
      </c>
      <c r="AE9" s="21" t="b">
        <v>0</v>
      </c>
      <c r="AF9" s="21" t="b">
        <v>0</v>
      </c>
      <c r="AG9" s="21" t="b">
        <v>0</v>
      </c>
      <c r="AH9" s="21" t="b">
        <v>0</v>
      </c>
      <c r="AI9" s="21" t="b">
        <v>0</v>
      </c>
    </row>
    <row r="10">
      <c r="A10" s="26" t="s">
        <v>57</v>
      </c>
      <c r="B10" s="12">
        <f t="shared" si="1"/>
        <v>0.9545454545</v>
      </c>
      <c r="C10" s="12">
        <f t="shared" si="2"/>
        <v>0.6774193548</v>
      </c>
      <c r="D10" s="12"/>
      <c r="E10" s="21" t="b">
        <v>1</v>
      </c>
      <c r="F10" s="21" t="b">
        <v>1</v>
      </c>
      <c r="G10" s="21" t="b">
        <v>1</v>
      </c>
      <c r="H10" s="21" t="b">
        <v>0</v>
      </c>
      <c r="I10" s="21" t="b">
        <v>1</v>
      </c>
      <c r="J10" s="21" t="b">
        <v>1</v>
      </c>
      <c r="K10" s="21" t="b">
        <v>1</v>
      </c>
      <c r="L10" s="21" t="b">
        <v>1</v>
      </c>
      <c r="M10" s="21" t="b">
        <v>1</v>
      </c>
      <c r="N10" s="21" t="b">
        <v>1</v>
      </c>
      <c r="O10" s="21" t="b">
        <v>1</v>
      </c>
      <c r="P10" s="21" t="b">
        <v>1</v>
      </c>
      <c r="Q10" s="21" t="b">
        <v>1</v>
      </c>
      <c r="R10" s="21" t="b">
        <v>1</v>
      </c>
      <c r="S10" s="21" t="b">
        <v>1</v>
      </c>
      <c r="T10" s="21" t="b">
        <v>1</v>
      </c>
      <c r="U10" s="21" t="b">
        <v>1</v>
      </c>
      <c r="V10" s="21" t="b">
        <v>1</v>
      </c>
      <c r="W10" s="21" t="b">
        <v>1</v>
      </c>
      <c r="X10" s="21" t="b">
        <v>1</v>
      </c>
      <c r="Y10" s="21" t="b">
        <v>1</v>
      </c>
      <c r="Z10" s="21" t="b">
        <v>1</v>
      </c>
      <c r="AA10" s="21" t="b">
        <v>0</v>
      </c>
      <c r="AB10" s="21" t="b">
        <v>0</v>
      </c>
      <c r="AC10" s="21" t="b">
        <v>0</v>
      </c>
      <c r="AD10" s="21" t="b">
        <v>0</v>
      </c>
      <c r="AE10" s="21" t="b">
        <v>0</v>
      </c>
      <c r="AF10" s="21" t="b">
        <v>0</v>
      </c>
      <c r="AG10" s="21" t="b">
        <v>0</v>
      </c>
      <c r="AH10" s="21" t="b">
        <v>0</v>
      </c>
      <c r="AI10" s="21" t="b">
        <v>0</v>
      </c>
    </row>
    <row r="11">
      <c r="A11" s="39" t="s">
        <v>58</v>
      </c>
      <c r="B11" s="12">
        <f t="shared" si="1"/>
        <v>0.7727272727</v>
      </c>
      <c r="C11" s="12">
        <f t="shared" si="2"/>
        <v>0.5483870968</v>
      </c>
      <c r="D11" s="12"/>
      <c r="E11" s="21" t="b">
        <v>0</v>
      </c>
      <c r="F11" s="21" t="b">
        <v>0</v>
      </c>
      <c r="G11" s="21" t="b">
        <v>0</v>
      </c>
      <c r="H11" s="21" t="b">
        <v>0</v>
      </c>
      <c r="I11" s="21" t="b">
        <v>0</v>
      </c>
      <c r="J11" s="21" t="b">
        <v>1</v>
      </c>
      <c r="K11" s="21" t="b">
        <v>1</v>
      </c>
      <c r="L11" s="21" t="b">
        <v>1</v>
      </c>
      <c r="M11" s="21" t="b">
        <v>1</v>
      </c>
      <c r="N11" s="21" t="b">
        <v>1</v>
      </c>
      <c r="O11" s="21" t="b">
        <v>1</v>
      </c>
      <c r="P11" s="21" t="b">
        <v>1</v>
      </c>
      <c r="Q11" s="21" t="b">
        <v>1</v>
      </c>
      <c r="R11" s="21" t="b">
        <v>1</v>
      </c>
      <c r="S11" s="21" t="b">
        <v>1</v>
      </c>
      <c r="T11" s="21" t="b">
        <v>1</v>
      </c>
      <c r="U11" s="21" t="b">
        <v>1</v>
      </c>
      <c r="V11" s="21" t="b">
        <v>1</v>
      </c>
      <c r="W11" s="21" t="b">
        <v>1</v>
      </c>
      <c r="X11" s="21" t="b">
        <v>1</v>
      </c>
      <c r="Y11" s="21" t="b">
        <v>1</v>
      </c>
      <c r="Z11" s="21" t="b">
        <v>1</v>
      </c>
      <c r="AA11" s="21" t="b">
        <v>0</v>
      </c>
      <c r="AB11" s="21" t="b">
        <v>0</v>
      </c>
      <c r="AC11" s="21" t="b">
        <v>0</v>
      </c>
      <c r="AD11" s="21" t="b">
        <v>0</v>
      </c>
      <c r="AE11" s="21" t="b">
        <v>0</v>
      </c>
      <c r="AF11" s="21" t="b">
        <v>0</v>
      </c>
      <c r="AG11" s="21" t="b">
        <v>0</v>
      </c>
      <c r="AH11" s="21" t="b">
        <v>0</v>
      </c>
      <c r="AI11" s="21" t="b">
        <v>0</v>
      </c>
    </row>
    <row r="12">
      <c r="A12" s="26" t="s">
        <v>59</v>
      </c>
      <c r="B12" s="12">
        <f t="shared" si="1"/>
        <v>0.9545454545</v>
      </c>
      <c r="C12" s="12">
        <f t="shared" si="2"/>
        <v>0.6774193548</v>
      </c>
      <c r="D12" s="12"/>
      <c r="E12" s="21" t="b">
        <v>1</v>
      </c>
      <c r="F12" s="21" t="b">
        <v>1</v>
      </c>
      <c r="G12" s="21" t="b">
        <v>1</v>
      </c>
      <c r="H12" s="21" t="b">
        <v>0</v>
      </c>
      <c r="I12" s="21" t="b">
        <v>1</v>
      </c>
      <c r="J12" s="21" t="b">
        <v>1</v>
      </c>
      <c r="K12" s="21" t="b">
        <v>1</v>
      </c>
      <c r="L12" s="21" t="b">
        <v>1</v>
      </c>
      <c r="M12" s="21" t="b">
        <v>1</v>
      </c>
      <c r="N12" s="21" t="b">
        <v>1</v>
      </c>
      <c r="O12" s="21" t="b">
        <v>1</v>
      </c>
      <c r="P12" s="21" t="b">
        <v>1</v>
      </c>
      <c r="Q12" s="21" t="b">
        <v>1</v>
      </c>
      <c r="R12" s="21" t="b">
        <v>1</v>
      </c>
      <c r="S12" s="21" t="b">
        <v>1</v>
      </c>
      <c r="T12" s="21" t="b">
        <v>1</v>
      </c>
      <c r="U12" s="21" t="b">
        <v>1</v>
      </c>
      <c r="V12" s="21" t="b">
        <v>1</v>
      </c>
      <c r="W12" s="21" t="b">
        <v>1</v>
      </c>
      <c r="X12" s="21" t="b">
        <v>1</v>
      </c>
      <c r="Y12" s="21" t="b">
        <v>1</v>
      </c>
      <c r="Z12" s="21" t="b">
        <v>1</v>
      </c>
      <c r="AA12" s="21" t="b">
        <v>0</v>
      </c>
      <c r="AB12" s="21" t="b">
        <v>0</v>
      </c>
      <c r="AC12" s="21" t="b">
        <v>0</v>
      </c>
      <c r="AD12" s="21" t="b">
        <v>0</v>
      </c>
      <c r="AE12" s="21" t="b">
        <v>0</v>
      </c>
      <c r="AF12" s="21" t="b">
        <v>0</v>
      </c>
      <c r="AG12" s="21" t="b">
        <v>0</v>
      </c>
      <c r="AH12" s="21" t="b">
        <v>0</v>
      </c>
      <c r="AI12" s="21" t="b">
        <v>0</v>
      </c>
    </row>
    <row r="13">
      <c r="A13" s="26" t="s">
        <v>60</v>
      </c>
      <c r="B13" s="12">
        <f t="shared" si="1"/>
        <v>0.9545454545</v>
      </c>
      <c r="C13" s="12">
        <f t="shared" si="2"/>
        <v>0.6774193548</v>
      </c>
      <c r="D13" s="12"/>
      <c r="E13" s="21" t="b">
        <v>1</v>
      </c>
      <c r="F13" s="21" t="b">
        <v>1</v>
      </c>
      <c r="G13" s="21" t="b">
        <v>1</v>
      </c>
      <c r="H13" s="21" t="b">
        <v>0</v>
      </c>
      <c r="I13" s="21" t="b">
        <v>1</v>
      </c>
      <c r="J13" s="21" t="b">
        <v>1</v>
      </c>
      <c r="K13" s="21" t="b">
        <v>1</v>
      </c>
      <c r="L13" s="21" t="b">
        <v>1</v>
      </c>
      <c r="M13" s="21" t="b">
        <v>1</v>
      </c>
      <c r="N13" s="21" t="b">
        <v>1</v>
      </c>
      <c r="O13" s="21" t="b">
        <v>1</v>
      </c>
      <c r="P13" s="21" t="b">
        <v>1</v>
      </c>
      <c r="Q13" s="21" t="b">
        <v>1</v>
      </c>
      <c r="R13" s="21" t="b">
        <v>1</v>
      </c>
      <c r="S13" s="21" t="b">
        <v>1</v>
      </c>
      <c r="T13" s="21" t="b">
        <v>1</v>
      </c>
      <c r="U13" s="21" t="b">
        <v>1</v>
      </c>
      <c r="V13" s="21" t="b">
        <v>1</v>
      </c>
      <c r="W13" s="21" t="b">
        <v>1</v>
      </c>
      <c r="X13" s="21" t="b">
        <v>1</v>
      </c>
      <c r="Y13" s="21" t="b">
        <v>1</v>
      </c>
      <c r="Z13" s="21" t="b">
        <v>1</v>
      </c>
      <c r="AA13" s="21" t="b">
        <v>0</v>
      </c>
      <c r="AB13" s="21" t="b">
        <v>0</v>
      </c>
      <c r="AC13" s="21" t="b">
        <v>0</v>
      </c>
      <c r="AD13" s="21" t="b">
        <v>0</v>
      </c>
      <c r="AE13" s="21" t="b">
        <v>0</v>
      </c>
      <c r="AF13" s="21" t="b">
        <v>0</v>
      </c>
      <c r="AG13" s="21" t="b">
        <v>0</v>
      </c>
      <c r="AH13" s="21" t="b">
        <v>0</v>
      </c>
      <c r="AI13" s="21" t="b">
        <v>0</v>
      </c>
    </row>
    <row r="14">
      <c r="A14" s="26" t="s">
        <v>61</v>
      </c>
      <c r="B14" s="12">
        <f t="shared" si="1"/>
        <v>0.9545454545</v>
      </c>
      <c r="C14" s="12">
        <f t="shared" si="2"/>
        <v>0.6774193548</v>
      </c>
      <c r="D14" s="12"/>
      <c r="E14" s="21" t="b">
        <v>1</v>
      </c>
      <c r="F14" s="21" t="b">
        <v>1</v>
      </c>
      <c r="G14" s="21" t="b">
        <v>1</v>
      </c>
      <c r="H14" s="21" t="b">
        <v>0</v>
      </c>
      <c r="I14" s="21" t="b">
        <v>1</v>
      </c>
      <c r="J14" s="21" t="b">
        <v>1</v>
      </c>
      <c r="K14" s="21" t="b">
        <v>1</v>
      </c>
      <c r="L14" s="21" t="b">
        <v>1</v>
      </c>
      <c r="M14" s="21" t="b">
        <v>1</v>
      </c>
      <c r="N14" s="21" t="b">
        <v>1</v>
      </c>
      <c r="O14" s="21" t="b">
        <v>1</v>
      </c>
      <c r="P14" s="21" t="b">
        <v>1</v>
      </c>
      <c r="Q14" s="21" t="b">
        <v>1</v>
      </c>
      <c r="R14" s="21" t="b">
        <v>1</v>
      </c>
      <c r="S14" s="21" t="b">
        <v>1</v>
      </c>
      <c r="T14" s="21" t="b">
        <v>1</v>
      </c>
      <c r="U14" s="21" t="b">
        <v>1</v>
      </c>
      <c r="V14" s="21" t="b">
        <v>1</v>
      </c>
      <c r="W14" s="21" t="b">
        <v>1</v>
      </c>
      <c r="X14" s="21" t="b">
        <v>1</v>
      </c>
      <c r="Y14" s="21" t="b">
        <v>1</v>
      </c>
      <c r="Z14" s="21" t="b">
        <v>1</v>
      </c>
      <c r="AA14" s="21" t="b">
        <v>0</v>
      </c>
      <c r="AB14" s="21" t="b">
        <v>0</v>
      </c>
      <c r="AC14" s="21" t="b">
        <v>0</v>
      </c>
      <c r="AD14" s="21" t="b">
        <v>0</v>
      </c>
      <c r="AE14" s="21" t="b">
        <v>0</v>
      </c>
      <c r="AF14" s="21" t="b">
        <v>0</v>
      </c>
      <c r="AG14" s="21" t="b">
        <v>0</v>
      </c>
      <c r="AH14" s="21" t="b">
        <v>0</v>
      </c>
      <c r="AI14" s="21" t="b">
        <v>0</v>
      </c>
    </row>
    <row r="15">
      <c r="A15" s="26" t="s">
        <v>62</v>
      </c>
      <c r="B15" s="12">
        <f t="shared" si="1"/>
        <v>0.7272727273</v>
      </c>
      <c r="C15" s="12">
        <f t="shared" si="2"/>
        <v>0.5161290323</v>
      </c>
      <c r="D15" s="12"/>
      <c r="E15" s="21" t="b">
        <v>1</v>
      </c>
      <c r="F15" s="21" t="b">
        <v>0</v>
      </c>
      <c r="G15" s="21" t="b">
        <v>0</v>
      </c>
      <c r="H15" s="21" t="b">
        <v>0</v>
      </c>
      <c r="I15" s="21" t="b">
        <v>0</v>
      </c>
      <c r="J15" s="21" t="b">
        <v>0</v>
      </c>
      <c r="K15" s="21" t="b">
        <v>1</v>
      </c>
      <c r="L15" s="21" t="b">
        <v>1</v>
      </c>
      <c r="M15" s="21" t="b">
        <v>1</v>
      </c>
      <c r="N15" s="21" t="b">
        <v>1</v>
      </c>
      <c r="O15" s="21" t="b">
        <v>1</v>
      </c>
      <c r="P15" s="21" t="b">
        <v>0</v>
      </c>
      <c r="Q15" s="21" t="b">
        <v>1</v>
      </c>
      <c r="R15" s="21" t="b">
        <v>1</v>
      </c>
      <c r="S15" s="21" t="b">
        <v>1</v>
      </c>
      <c r="T15" s="21" t="b">
        <v>1</v>
      </c>
      <c r="U15" s="21" t="b">
        <v>1</v>
      </c>
      <c r="V15" s="21" t="b">
        <v>1</v>
      </c>
      <c r="W15" s="21" t="b">
        <v>1</v>
      </c>
      <c r="X15" s="21" t="b">
        <v>1</v>
      </c>
      <c r="Y15" s="21" t="b">
        <v>1</v>
      </c>
      <c r="Z15" s="21" t="b">
        <v>1</v>
      </c>
      <c r="AA15" s="21" t="b">
        <v>0</v>
      </c>
      <c r="AB15" s="21" t="b">
        <v>0</v>
      </c>
      <c r="AC15" s="21" t="b">
        <v>0</v>
      </c>
      <c r="AD15" s="21" t="b">
        <v>0</v>
      </c>
      <c r="AE15" s="21" t="b">
        <v>0</v>
      </c>
      <c r="AF15" s="21" t="b">
        <v>0</v>
      </c>
      <c r="AG15" s="21" t="b">
        <v>0</v>
      </c>
      <c r="AH15" s="21" t="b">
        <v>0</v>
      </c>
      <c r="AI15" s="21" t="b">
        <v>0</v>
      </c>
    </row>
    <row r="16">
      <c r="A16" s="26" t="s">
        <v>63</v>
      </c>
      <c r="B16" s="12">
        <f t="shared" si="1"/>
        <v>0.8636363636</v>
      </c>
      <c r="C16" s="12">
        <f t="shared" si="2"/>
        <v>0.6129032258</v>
      </c>
      <c r="D16" s="12"/>
      <c r="E16" s="21" t="b">
        <v>1</v>
      </c>
      <c r="F16" s="21" t="b">
        <v>1</v>
      </c>
      <c r="G16" s="21" t="b">
        <v>0</v>
      </c>
      <c r="H16" s="21" t="b">
        <v>0</v>
      </c>
      <c r="I16" s="21" t="b">
        <v>1</v>
      </c>
      <c r="J16" s="21" t="b">
        <v>1</v>
      </c>
      <c r="K16" s="21" t="b">
        <v>1</v>
      </c>
      <c r="L16" s="21" t="b">
        <v>1</v>
      </c>
      <c r="M16" s="21" t="b">
        <v>1</v>
      </c>
      <c r="N16" s="21" t="b">
        <v>1</v>
      </c>
      <c r="O16" s="21" t="b">
        <v>1</v>
      </c>
      <c r="P16" s="21" t="b">
        <v>0</v>
      </c>
      <c r="Q16" s="21" t="b">
        <v>1</v>
      </c>
      <c r="R16" s="21" t="b">
        <v>1</v>
      </c>
      <c r="S16" s="21" t="b">
        <v>1</v>
      </c>
      <c r="T16" s="21" t="b">
        <v>1</v>
      </c>
      <c r="U16" s="21" t="b">
        <v>1</v>
      </c>
      <c r="V16" s="21" t="b">
        <v>1</v>
      </c>
      <c r="W16" s="21" t="b">
        <v>1</v>
      </c>
      <c r="X16" s="21" t="b">
        <v>1</v>
      </c>
      <c r="Y16" s="21" t="b">
        <v>1</v>
      </c>
      <c r="Z16" s="21" t="b">
        <v>1</v>
      </c>
      <c r="AA16" s="21" t="b">
        <v>0</v>
      </c>
      <c r="AB16" s="21" t="b">
        <v>0</v>
      </c>
      <c r="AC16" s="21" t="b">
        <v>0</v>
      </c>
      <c r="AD16" s="21" t="b">
        <v>0</v>
      </c>
      <c r="AE16" s="21" t="b">
        <v>0</v>
      </c>
      <c r="AF16" s="21" t="b">
        <v>0</v>
      </c>
      <c r="AG16" s="21" t="b">
        <v>0</v>
      </c>
      <c r="AH16" s="21" t="b">
        <v>0</v>
      </c>
      <c r="AI16" s="21" t="b">
        <v>0</v>
      </c>
    </row>
    <row r="17">
      <c r="A17" s="10" t="s">
        <v>64</v>
      </c>
      <c r="B17" s="10">
        <v>22.0</v>
      </c>
      <c r="C17" s="10">
        <v>31.0</v>
      </c>
      <c r="E17" s="42">
        <f t="shared" ref="E17:AI17" si="3">COUNTIF(E2:E16, TRUE)</f>
        <v>10</v>
      </c>
      <c r="F17" s="42">
        <f t="shared" si="3"/>
        <v>11</v>
      </c>
      <c r="G17" s="42">
        <f t="shared" si="3"/>
        <v>7</v>
      </c>
      <c r="H17" s="42">
        <f t="shared" si="3"/>
        <v>3</v>
      </c>
      <c r="I17" s="42">
        <f t="shared" si="3"/>
        <v>9</v>
      </c>
      <c r="J17" s="42">
        <f t="shared" si="3"/>
        <v>12</v>
      </c>
      <c r="K17" s="42">
        <f t="shared" si="3"/>
        <v>15</v>
      </c>
      <c r="L17" s="42">
        <f t="shared" si="3"/>
        <v>15</v>
      </c>
      <c r="M17" s="42">
        <f t="shared" si="3"/>
        <v>15</v>
      </c>
      <c r="N17" s="42">
        <f t="shared" si="3"/>
        <v>15</v>
      </c>
      <c r="O17" s="42">
        <f t="shared" si="3"/>
        <v>15</v>
      </c>
      <c r="P17" s="42">
        <f t="shared" si="3"/>
        <v>9</v>
      </c>
      <c r="Q17" s="42">
        <f t="shared" si="3"/>
        <v>15</v>
      </c>
      <c r="R17" s="42">
        <f t="shared" si="3"/>
        <v>15</v>
      </c>
      <c r="S17" s="42">
        <f t="shared" si="3"/>
        <v>15</v>
      </c>
      <c r="T17" s="42">
        <f t="shared" si="3"/>
        <v>15</v>
      </c>
      <c r="U17" s="42">
        <f t="shared" si="3"/>
        <v>15</v>
      </c>
      <c r="V17" s="42">
        <f t="shared" si="3"/>
        <v>15</v>
      </c>
      <c r="W17" s="42">
        <f t="shared" si="3"/>
        <v>15</v>
      </c>
      <c r="X17" s="42">
        <f t="shared" si="3"/>
        <v>15</v>
      </c>
      <c r="Y17" s="42">
        <f t="shared" si="3"/>
        <v>15</v>
      </c>
      <c r="Z17" s="42">
        <f t="shared" si="3"/>
        <v>15</v>
      </c>
      <c r="AA17" s="42">
        <f t="shared" si="3"/>
        <v>1</v>
      </c>
      <c r="AB17" s="42">
        <f t="shared" si="3"/>
        <v>0</v>
      </c>
      <c r="AC17" s="42">
        <f t="shared" si="3"/>
        <v>0</v>
      </c>
      <c r="AD17" s="42">
        <f t="shared" si="3"/>
        <v>0</v>
      </c>
      <c r="AE17" s="42">
        <f t="shared" si="3"/>
        <v>0</v>
      </c>
      <c r="AF17" s="42">
        <f t="shared" si="3"/>
        <v>0</v>
      </c>
      <c r="AG17" s="42">
        <f t="shared" si="3"/>
        <v>0</v>
      </c>
      <c r="AH17" s="42">
        <f t="shared" si="3"/>
        <v>0</v>
      </c>
      <c r="AI17" s="42">
        <f t="shared" si="3"/>
        <v>0</v>
      </c>
    </row>
    <row r="19">
      <c r="E19" s="32" t="s">
        <v>65</v>
      </c>
    </row>
    <row r="20">
      <c r="E20" s="34" t="s">
        <v>66</v>
      </c>
    </row>
    <row r="21">
      <c r="E21" s="36" t="s">
        <v>28</v>
      </c>
    </row>
    <row r="22">
      <c r="A22" s="48"/>
      <c r="B22" s="48"/>
      <c r="E22" s="37" t="s">
        <v>68</v>
      </c>
    </row>
    <row r="23">
      <c r="A23" s="10"/>
    </row>
  </sheetData>
  <conditionalFormatting sqref="E2:AI16">
    <cfRule type="cellIs" dxfId="0" priority="1" operator="equal">
      <formula>"TRUE"</formula>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7.0"/>
    <col customWidth="1" min="3" max="4" width="7.38"/>
  </cols>
  <sheetData>
    <row r="1">
      <c r="B1" s="10" t="s">
        <v>29</v>
      </c>
      <c r="C1" s="10" t="s">
        <v>30</v>
      </c>
      <c r="D1" s="10" t="s">
        <v>31</v>
      </c>
      <c r="E1" s="21" t="s">
        <v>219</v>
      </c>
      <c r="F1" s="21" t="s">
        <v>220</v>
      </c>
      <c r="G1" s="21" t="s">
        <v>221</v>
      </c>
      <c r="H1" s="21" t="s">
        <v>222</v>
      </c>
      <c r="I1" s="21" t="s">
        <v>223</v>
      </c>
      <c r="J1" s="21" t="s">
        <v>224</v>
      </c>
      <c r="K1" s="21" t="s">
        <v>225</v>
      </c>
      <c r="L1" s="21" t="s">
        <v>226</v>
      </c>
      <c r="M1" s="21" t="s">
        <v>227</v>
      </c>
      <c r="N1" s="21" t="s">
        <v>228</v>
      </c>
      <c r="O1" s="21" t="s">
        <v>229</v>
      </c>
      <c r="P1" s="23" t="s">
        <v>93</v>
      </c>
      <c r="Q1" s="23" t="s">
        <v>93</v>
      </c>
      <c r="R1" s="25" t="s">
        <v>125</v>
      </c>
      <c r="S1" s="25" t="s">
        <v>125</v>
      </c>
      <c r="T1" s="24" t="s">
        <v>230</v>
      </c>
      <c r="U1" s="24" t="s">
        <v>231</v>
      </c>
      <c r="V1" s="24" t="s">
        <v>232</v>
      </c>
      <c r="W1" s="24" t="s">
        <v>233</v>
      </c>
      <c r="X1" s="24" t="s">
        <v>234</v>
      </c>
      <c r="Y1" s="24" t="s">
        <v>235</v>
      </c>
      <c r="Z1" s="24" t="s">
        <v>236</v>
      </c>
      <c r="AA1" s="24" t="s">
        <v>237</v>
      </c>
      <c r="AB1" s="24" t="s">
        <v>238</v>
      </c>
      <c r="AC1" s="24" t="s">
        <v>239</v>
      </c>
      <c r="AD1" s="24" t="s">
        <v>240</v>
      </c>
    </row>
    <row r="2">
      <c r="A2" s="31" t="s">
        <v>49</v>
      </c>
      <c r="B2" s="12">
        <f t="shared" ref="B2:B16" si="1">COUNTIF(E2:Q2, TRUE) / COUNTA(E2:Q2)</f>
        <v>0.3846153846</v>
      </c>
      <c r="C2" s="12">
        <f t="shared" ref="C2:C16" si="2">COUNTIF(E2:AD2, TRUE) / COUNTA(E2:AD2)</f>
        <v>0.2307692308</v>
      </c>
      <c r="D2" s="12"/>
      <c r="E2" s="21" t="b">
        <v>0</v>
      </c>
      <c r="F2" s="21" t="b">
        <v>1</v>
      </c>
      <c r="G2" s="21" t="b">
        <v>0</v>
      </c>
      <c r="H2" s="21" t="b">
        <v>1</v>
      </c>
      <c r="I2" s="21" t="b">
        <v>0</v>
      </c>
      <c r="J2" s="21" t="b">
        <v>0</v>
      </c>
      <c r="K2" s="21" t="b">
        <v>0</v>
      </c>
      <c r="L2" s="21" t="b">
        <v>0</v>
      </c>
      <c r="M2" s="21" t="b">
        <v>1</v>
      </c>
      <c r="N2" s="21" t="b">
        <v>0</v>
      </c>
      <c r="O2" s="21" t="b">
        <v>0</v>
      </c>
      <c r="P2" s="21" t="b">
        <v>1</v>
      </c>
      <c r="Q2" s="21" t="b">
        <v>1</v>
      </c>
      <c r="R2" s="21" t="b">
        <v>1</v>
      </c>
      <c r="S2" s="21" t="b">
        <v>0</v>
      </c>
      <c r="T2" s="21" t="b">
        <v>0</v>
      </c>
      <c r="U2" s="21" t="b">
        <v>0</v>
      </c>
      <c r="V2" s="21" t="b">
        <v>0</v>
      </c>
      <c r="W2" s="21" t="b">
        <v>0</v>
      </c>
      <c r="X2" s="21" t="b">
        <v>0</v>
      </c>
      <c r="Y2" s="21" t="b">
        <v>0</v>
      </c>
      <c r="Z2" s="21" t="b">
        <v>0</v>
      </c>
      <c r="AA2" s="21" t="b">
        <v>0</v>
      </c>
      <c r="AB2" s="21" t="b">
        <v>0</v>
      </c>
      <c r="AC2" s="21" t="b">
        <v>0</v>
      </c>
      <c r="AD2" s="21" t="b">
        <v>0</v>
      </c>
      <c r="AE2" s="21"/>
      <c r="AF2" s="21"/>
    </row>
    <row r="3">
      <c r="A3" s="31" t="s">
        <v>50</v>
      </c>
      <c r="B3" s="12">
        <f t="shared" si="1"/>
        <v>0.4615384615</v>
      </c>
      <c r="C3" s="12">
        <f t="shared" si="2"/>
        <v>0.3461538462</v>
      </c>
      <c r="D3" s="12"/>
      <c r="E3" s="21" t="b">
        <v>0</v>
      </c>
      <c r="F3" s="21" t="b">
        <v>0</v>
      </c>
      <c r="G3" s="21" t="b">
        <v>0</v>
      </c>
      <c r="H3" s="21" t="b">
        <v>0</v>
      </c>
      <c r="I3" s="21" t="b">
        <v>0</v>
      </c>
      <c r="J3" s="21" t="b">
        <v>1</v>
      </c>
      <c r="K3" s="21" t="b">
        <v>0</v>
      </c>
      <c r="L3" s="21" t="b">
        <v>0</v>
      </c>
      <c r="M3" s="21" t="b">
        <v>1</v>
      </c>
      <c r="N3" s="21" t="b">
        <v>1</v>
      </c>
      <c r="O3" s="21" t="b">
        <v>1</v>
      </c>
      <c r="P3" s="21" t="b">
        <v>1</v>
      </c>
      <c r="Q3" s="21" t="b">
        <v>1</v>
      </c>
      <c r="R3" s="21" t="b">
        <v>0</v>
      </c>
      <c r="S3" s="21" t="b">
        <v>0</v>
      </c>
      <c r="T3" s="21" t="b">
        <v>0</v>
      </c>
      <c r="U3" s="21" t="b">
        <v>0</v>
      </c>
      <c r="V3" s="21" t="b">
        <v>1</v>
      </c>
      <c r="W3" s="21" t="b">
        <v>0</v>
      </c>
      <c r="X3" s="21" t="b">
        <v>0</v>
      </c>
      <c r="Y3" s="21" t="b">
        <v>0</v>
      </c>
      <c r="Z3" s="21" t="b">
        <v>0</v>
      </c>
      <c r="AA3" s="21" t="b">
        <v>1</v>
      </c>
      <c r="AB3" s="21" t="b">
        <v>1</v>
      </c>
      <c r="AC3" s="21" t="b">
        <v>0</v>
      </c>
      <c r="AD3" s="21" t="b">
        <v>0</v>
      </c>
      <c r="AE3" s="21"/>
      <c r="AF3" s="21"/>
    </row>
    <row r="4">
      <c r="A4" s="31" t="s">
        <v>51</v>
      </c>
      <c r="B4" s="12">
        <f t="shared" si="1"/>
        <v>0.3076923077</v>
      </c>
      <c r="C4" s="12">
        <f t="shared" si="2"/>
        <v>0.1538461538</v>
      </c>
      <c r="D4" s="12"/>
      <c r="E4" s="21" t="b">
        <v>0</v>
      </c>
      <c r="F4" s="21" t="b">
        <v>0</v>
      </c>
      <c r="G4" s="21" t="b">
        <v>0</v>
      </c>
      <c r="H4" s="21" t="b">
        <v>0</v>
      </c>
      <c r="I4" s="21" t="b">
        <v>0</v>
      </c>
      <c r="J4" s="21" t="b">
        <v>0</v>
      </c>
      <c r="K4" s="21" t="b">
        <v>0</v>
      </c>
      <c r="L4" s="21" t="b">
        <v>0</v>
      </c>
      <c r="M4" s="21" t="b">
        <v>1</v>
      </c>
      <c r="N4" s="21" t="b">
        <v>1</v>
      </c>
      <c r="O4" s="21" t="b">
        <v>0</v>
      </c>
      <c r="P4" s="21" t="b">
        <v>1</v>
      </c>
      <c r="Q4" s="21" t="b">
        <v>1</v>
      </c>
      <c r="R4" s="21" t="b">
        <v>0</v>
      </c>
      <c r="S4" s="21" t="b">
        <v>0</v>
      </c>
      <c r="T4" s="21" t="b">
        <v>0</v>
      </c>
      <c r="U4" s="21" t="b">
        <v>0</v>
      </c>
      <c r="V4" s="21" t="b">
        <v>0</v>
      </c>
      <c r="W4" s="21" t="b">
        <v>0</v>
      </c>
      <c r="X4" s="21" t="b">
        <v>0</v>
      </c>
      <c r="Y4" s="21" t="b">
        <v>0</v>
      </c>
      <c r="Z4" s="21" t="b">
        <v>0</v>
      </c>
      <c r="AA4" s="21" t="b">
        <v>0</v>
      </c>
      <c r="AB4" s="21" t="b">
        <v>0</v>
      </c>
      <c r="AC4" s="21" t="b">
        <v>0</v>
      </c>
      <c r="AD4" s="21" t="b">
        <v>0</v>
      </c>
      <c r="AE4" s="21"/>
      <c r="AF4" s="21"/>
    </row>
    <row r="5">
      <c r="A5" s="31" t="s">
        <v>52</v>
      </c>
      <c r="B5" s="12">
        <f t="shared" si="1"/>
        <v>0.3076923077</v>
      </c>
      <c r="C5" s="12">
        <f t="shared" si="2"/>
        <v>0.1923076923</v>
      </c>
      <c r="D5" s="12"/>
      <c r="E5" s="21" t="b">
        <v>0</v>
      </c>
      <c r="F5" s="21" t="b">
        <v>0</v>
      </c>
      <c r="G5" s="21" t="b">
        <v>0</v>
      </c>
      <c r="H5" s="21" t="b">
        <v>0</v>
      </c>
      <c r="I5" s="21" t="b">
        <v>0</v>
      </c>
      <c r="J5" s="21" t="b">
        <v>0</v>
      </c>
      <c r="K5" s="21" t="b">
        <v>0</v>
      </c>
      <c r="L5" s="21" t="b">
        <v>0</v>
      </c>
      <c r="M5" s="21" t="b">
        <v>1</v>
      </c>
      <c r="N5" s="21" t="b">
        <v>1</v>
      </c>
      <c r="O5" s="21" t="b">
        <v>0</v>
      </c>
      <c r="P5" s="21" t="b">
        <v>1</v>
      </c>
      <c r="Q5" s="21" t="b">
        <v>1</v>
      </c>
      <c r="R5" s="21" t="b">
        <v>0</v>
      </c>
      <c r="S5" s="21" t="b">
        <v>0</v>
      </c>
      <c r="T5" s="21" t="b">
        <v>0</v>
      </c>
      <c r="U5" s="21" t="b">
        <v>0</v>
      </c>
      <c r="V5" s="21" t="b">
        <v>1</v>
      </c>
      <c r="W5" s="21" t="b">
        <v>0</v>
      </c>
      <c r="X5" s="21" t="b">
        <v>0</v>
      </c>
      <c r="Y5" s="21" t="b">
        <v>0</v>
      </c>
      <c r="Z5" s="21" t="b">
        <v>0</v>
      </c>
      <c r="AA5" s="21" t="b">
        <v>0</v>
      </c>
      <c r="AB5" s="21" t="b">
        <v>0</v>
      </c>
      <c r="AC5" s="21" t="b">
        <v>0</v>
      </c>
      <c r="AD5" s="21" t="b">
        <v>0</v>
      </c>
      <c r="AE5" s="21"/>
      <c r="AF5" s="21"/>
    </row>
    <row r="6">
      <c r="A6" s="31" t="s">
        <v>53</v>
      </c>
      <c r="B6" s="12">
        <f t="shared" si="1"/>
        <v>0.5384615385</v>
      </c>
      <c r="C6" s="12">
        <f t="shared" si="2"/>
        <v>0.2692307692</v>
      </c>
      <c r="D6" s="12"/>
      <c r="E6" s="21" t="b">
        <v>0</v>
      </c>
      <c r="F6" s="21" t="b">
        <v>1</v>
      </c>
      <c r="G6" s="21" t="b">
        <v>0</v>
      </c>
      <c r="H6" s="21" t="b">
        <v>1</v>
      </c>
      <c r="I6" s="21" t="b">
        <v>0</v>
      </c>
      <c r="J6" s="21" t="b">
        <v>0</v>
      </c>
      <c r="K6" s="21" t="b">
        <v>0</v>
      </c>
      <c r="L6" s="21" t="b">
        <v>0</v>
      </c>
      <c r="M6" s="21" t="b">
        <v>1</v>
      </c>
      <c r="N6" s="21" t="b">
        <v>1</v>
      </c>
      <c r="O6" s="21" t="b">
        <v>1</v>
      </c>
      <c r="P6" s="21" t="b">
        <v>1</v>
      </c>
      <c r="Q6" s="21" t="b">
        <v>1</v>
      </c>
      <c r="R6" s="21" t="b">
        <v>0</v>
      </c>
      <c r="S6" s="21" t="b">
        <v>0</v>
      </c>
      <c r="T6" s="21" t="b">
        <v>0</v>
      </c>
      <c r="U6" s="21" t="b">
        <v>0</v>
      </c>
      <c r="V6" s="21" t="b">
        <v>0</v>
      </c>
      <c r="W6" s="21" t="b">
        <v>0</v>
      </c>
      <c r="X6" s="21" t="b">
        <v>0</v>
      </c>
      <c r="Y6" s="21" t="b">
        <v>0</v>
      </c>
      <c r="Z6" s="21" t="b">
        <v>0</v>
      </c>
      <c r="AA6" s="21" t="b">
        <v>0</v>
      </c>
      <c r="AB6" s="21" t="b">
        <v>0</v>
      </c>
      <c r="AC6" s="21" t="b">
        <v>0</v>
      </c>
      <c r="AD6" s="21" t="b">
        <v>0</v>
      </c>
      <c r="AE6" s="21"/>
      <c r="AF6" s="21"/>
    </row>
    <row r="7">
      <c r="A7" s="31" t="s">
        <v>54</v>
      </c>
      <c r="B7" s="12">
        <f t="shared" si="1"/>
        <v>0.6153846154</v>
      </c>
      <c r="C7" s="12">
        <f t="shared" si="2"/>
        <v>0.4230769231</v>
      </c>
      <c r="D7" s="12"/>
      <c r="E7" s="21" t="b">
        <v>1</v>
      </c>
      <c r="F7" s="21" t="b">
        <v>1</v>
      </c>
      <c r="G7" s="21" t="b">
        <v>0</v>
      </c>
      <c r="H7" s="21" t="b">
        <v>1</v>
      </c>
      <c r="I7" s="21" t="b">
        <v>0</v>
      </c>
      <c r="J7" s="21" t="b">
        <v>0</v>
      </c>
      <c r="K7" s="21" t="b">
        <v>0</v>
      </c>
      <c r="L7" s="21" t="b">
        <v>0</v>
      </c>
      <c r="M7" s="21" t="b">
        <v>1</v>
      </c>
      <c r="N7" s="21" t="b">
        <v>1</v>
      </c>
      <c r="O7" s="21" t="b">
        <v>1</v>
      </c>
      <c r="P7" s="21" t="b">
        <v>1</v>
      </c>
      <c r="Q7" s="21" t="b">
        <v>1</v>
      </c>
      <c r="R7" s="21" t="b">
        <v>1</v>
      </c>
      <c r="S7" s="21" t="b">
        <v>0</v>
      </c>
      <c r="T7" s="21" t="b">
        <v>0</v>
      </c>
      <c r="U7" s="21" t="b">
        <v>0</v>
      </c>
      <c r="V7" s="21" t="b">
        <v>0</v>
      </c>
      <c r="W7" s="21" t="b">
        <v>0</v>
      </c>
      <c r="X7" s="21" t="b">
        <v>0</v>
      </c>
      <c r="Y7" s="21" t="b">
        <v>0</v>
      </c>
      <c r="Z7" s="21" t="b">
        <v>1</v>
      </c>
      <c r="AA7" s="21" t="b">
        <v>0</v>
      </c>
      <c r="AB7" s="21" t="b">
        <v>1</v>
      </c>
      <c r="AC7" s="21" t="b">
        <v>0</v>
      </c>
      <c r="AD7" s="21" t="b">
        <v>0</v>
      </c>
      <c r="AE7" s="21"/>
      <c r="AF7" s="21"/>
    </row>
    <row r="8">
      <c r="A8" s="31" t="s">
        <v>55</v>
      </c>
      <c r="B8" s="12">
        <f t="shared" si="1"/>
        <v>0.3846153846</v>
      </c>
      <c r="C8" s="12">
        <f t="shared" si="2"/>
        <v>0.1923076923</v>
      </c>
      <c r="D8" s="12"/>
      <c r="E8" s="21" t="b">
        <v>0</v>
      </c>
      <c r="F8" s="21" t="b">
        <v>0</v>
      </c>
      <c r="G8" s="21" t="b">
        <v>0</v>
      </c>
      <c r="H8" s="21" t="b">
        <v>0</v>
      </c>
      <c r="I8" s="21" t="b">
        <v>0</v>
      </c>
      <c r="J8" s="21" t="b">
        <v>0</v>
      </c>
      <c r="K8" s="21" t="b">
        <v>0</v>
      </c>
      <c r="L8" s="21" t="b">
        <v>0</v>
      </c>
      <c r="M8" s="21" t="b">
        <v>1</v>
      </c>
      <c r="N8" s="21" t="b">
        <v>1</v>
      </c>
      <c r="O8" s="21" t="b">
        <v>1</v>
      </c>
      <c r="P8" s="21" t="b">
        <v>1</v>
      </c>
      <c r="Q8" s="21" t="b">
        <v>1</v>
      </c>
      <c r="R8" s="21" t="b">
        <v>0</v>
      </c>
      <c r="S8" s="21" t="b">
        <v>0</v>
      </c>
      <c r="T8" s="21" t="b">
        <v>0</v>
      </c>
      <c r="U8" s="21" t="b">
        <v>0</v>
      </c>
      <c r="V8" s="21" t="b">
        <v>0</v>
      </c>
      <c r="W8" s="21" t="b">
        <v>0</v>
      </c>
      <c r="X8" s="21" t="b">
        <v>0</v>
      </c>
      <c r="Y8" s="21" t="b">
        <v>0</v>
      </c>
      <c r="Z8" s="21" t="b">
        <v>0</v>
      </c>
      <c r="AA8" s="21" t="b">
        <v>0</v>
      </c>
      <c r="AB8" s="21" t="b">
        <v>0</v>
      </c>
      <c r="AC8" s="21" t="b">
        <v>0</v>
      </c>
      <c r="AD8" s="21" t="b">
        <v>0</v>
      </c>
      <c r="AE8" s="21"/>
      <c r="AF8" s="21"/>
    </row>
    <row r="9">
      <c r="A9" s="31" t="s">
        <v>56</v>
      </c>
      <c r="B9" s="12">
        <f t="shared" si="1"/>
        <v>0.4615384615</v>
      </c>
      <c r="C9" s="12">
        <f t="shared" si="2"/>
        <v>0.2692307692</v>
      </c>
      <c r="D9" s="12"/>
      <c r="E9" s="21" t="b">
        <v>0</v>
      </c>
      <c r="F9" s="21" t="b">
        <v>1</v>
      </c>
      <c r="G9" s="21" t="b">
        <v>1</v>
      </c>
      <c r="H9" s="21" t="b">
        <v>0</v>
      </c>
      <c r="I9" s="21" t="b">
        <v>0</v>
      </c>
      <c r="J9" s="21" t="b">
        <v>0</v>
      </c>
      <c r="K9" s="21" t="b">
        <v>0</v>
      </c>
      <c r="L9" s="21" t="b">
        <v>0</v>
      </c>
      <c r="M9" s="21" t="b">
        <v>1</v>
      </c>
      <c r="N9" s="21" t="b">
        <v>1</v>
      </c>
      <c r="O9" s="21" t="b">
        <v>0</v>
      </c>
      <c r="P9" s="21" t="b">
        <v>1</v>
      </c>
      <c r="Q9" s="21" t="b">
        <v>1</v>
      </c>
      <c r="R9" s="21" t="b">
        <v>1</v>
      </c>
      <c r="S9" s="21" t="b">
        <v>0</v>
      </c>
      <c r="T9" s="21" t="b">
        <v>0</v>
      </c>
      <c r="U9" s="21" t="b">
        <v>0</v>
      </c>
      <c r="V9" s="21" t="b">
        <v>0</v>
      </c>
      <c r="W9" s="21" t="b">
        <v>0</v>
      </c>
      <c r="X9" s="21" t="b">
        <v>0</v>
      </c>
      <c r="Y9" s="21" t="b">
        <v>0</v>
      </c>
      <c r="Z9" s="21" t="b">
        <v>0</v>
      </c>
      <c r="AA9" s="21" t="b">
        <v>0</v>
      </c>
      <c r="AB9" s="21" t="b">
        <v>0</v>
      </c>
      <c r="AC9" s="21" t="b">
        <v>0</v>
      </c>
      <c r="AD9" s="21" t="b">
        <v>0</v>
      </c>
      <c r="AE9" s="21"/>
      <c r="AF9" s="21"/>
    </row>
    <row r="10">
      <c r="A10" s="31" t="s">
        <v>57</v>
      </c>
      <c r="B10" s="12">
        <f t="shared" si="1"/>
        <v>0.6153846154</v>
      </c>
      <c r="C10" s="12">
        <f t="shared" si="2"/>
        <v>0.3461538462</v>
      </c>
      <c r="D10" s="12"/>
      <c r="E10" s="21" t="b">
        <v>1</v>
      </c>
      <c r="F10" s="21" t="b">
        <v>1</v>
      </c>
      <c r="G10" s="21" t="b">
        <v>0</v>
      </c>
      <c r="H10" s="21" t="b">
        <v>0</v>
      </c>
      <c r="I10" s="21" t="b">
        <v>0</v>
      </c>
      <c r="J10" s="21" t="b">
        <v>0</v>
      </c>
      <c r="K10" s="21" t="b">
        <v>0</v>
      </c>
      <c r="L10" s="21" t="b">
        <v>1</v>
      </c>
      <c r="M10" s="21" t="b">
        <v>1</v>
      </c>
      <c r="N10" s="21" t="b">
        <v>1</v>
      </c>
      <c r="O10" s="21" t="b">
        <v>1</v>
      </c>
      <c r="P10" s="21" t="b">
        <v>1</v>
      </c>
      <c r="Q10" s="21" t="b">
        <v>1</v>
      </c>
      <c r="R10" s="21" t="b">
        <v>0</v>
      </c>
      <c r="S10" s="21" t="b">
        <v>0</v>
      </c>
      <c r="T10" s="21" t="b">
        <v>0</v>
      </c>
      <c r="U10" s="21" t="b">
        <v>0</v>
      </c>
      <c r="V10" s="21" t="b">
        <v>0</v>
      </c>
      <c r="W10" s="21" t="b">
        <v>0</v>
      </c>
      <c r="X10" s="21" t="b">
        <v>0</v>
      </c>
      <c r="Y10" s="21" t="b">
        <v>0</v>
      </c>
      <c r="Z10" s="21" t="b">
        <v>0</v>
      </c>
      <c r="AA10" s="21" t="b">
        <v>0</v>
      </c>
      <c r="AB10" s="21" t="b">
        <v>1</v>
      </c>
      <c r="AC10" s="21" t="b">
        <v>0</v>
      </c>
      <c r="AD10" s="21" t="b">
        <v>0</v>
      </c>
      <c r="AE10" s="21"/>
      <c r="AF10" s="21"/>
    </row>
    <row r="11">
      <c r="A11" s="31" t="s">
        <v>58</v>
      </c>
      <c r="B11" s="12">
        <f t="shared" si="1"/>
        <v>0.3076923077</v>
      </c>
      <c r="C11" s="12">
        <f t="shared" si="2"/>
        <v>0.1923076923</v>
      </c>
      <c r="D11" s="12"/>
      <c r="E11" s="21" t="b">
        <v>0</v>
      </c>
      <c r="F11" s="21" t="b">
        <v>0</v>
      </c>
      <c r="G11" s="21" t="b">
        <v>0</v>
      </c>
      <c r="H11" s="21" t="b">
        <v>0</v>
      </c>
      <c r="I11" s="21" t="b">
        <v>0</v>
      </c>
      <c r="J11" s="21" t="b">
        <v>0</v>
      </c>
      <c r="K11" s="21" t="b">
        <v>0</v>
      </c>
      <c r="L11" s="21" t="b">
        <v>0</v>
      </c>
      <c r="M11" s="21" t="b">
        <v>1</v>
      </c>
      <c r="N11" s="21" t="b">
        <v>1</v>
      </c>
      <c r="O11" s="21" t="b">
        <v>0</v>
      </c>
      <c r="P11" s="21" t="b">
        <v>1</v>
      </c>
      <c r="Q11" s="21" t="b">
        <v>1</v>
      </c>
      <c r="R11" s="21" t="b">
        <v>0</v>
      </c>
      <c r="S11" s="21" t="b">
        <v>0</v>
      </c>
      <c r="T11" s="21" t="b">
        <v>0</v>
      </c>
      <c r="U11" s="21" t="b">
        <v>0</v>
      </c>
      <c r="V11" s="21" t="b">
        <v>1</v>
      </c>
      <c r="W11" s="21" t="b">
        <v>0</v>
      </c>
      <c r="X11" s="21" t="b">
        <v>0</v>
      </c>
      <c r="Y11" s="21" t="b">
        <v>0</v>
      </c>
      <c r="Z11" s="21" t="b">
        <v>0</v>
      </c>
      <c r="AA11" s="21" t="b">
        <v>0</v>
      </c>
      <c r="AB11" s="21" t="b">
        <v>0</v>
      </c>
      <c r="AC11" s="21" t="b">
        <v>0</v>
      </c>
      <c r="AD11" s="21" t="b">
        <v>0</v>
      </c>
      <c r="AE11" s="21"/>
      <c r="AF11" s="21"/>
    </row>
    <row r="12">
      <c r="A12" s="31" t="s">
        <v>59</v>
      </c>
      <c r="B12" s="12">
        <f t="shared" si="1"/>
        <v>0.3846153846</v>
      </c>
      <c r="C12" s="12">
        <f t="shared" si="2"/>
        <v>0.2307692308</v>
      </c>
      <c r="D12" s="12"/>
      <c r="E12" s="21" t="b">
        <v>0</v>
      </c>
      <c r="F12" s="21" t="b">
        <v>0</v>
      </c>
      <c r="G12" s="21" t="b">
        <v>0</v>
      </c>
      <c r="H12" s="21" t="b">
        <v>0</v>
      </c>
      <c r="I12" s="21" t="b">
        <v>0</v>
      </c>
      <c r="J12" s="21" t="b">
        <v>0</v>
      </c>
      <c r="K12" s="21" t="b">
        <v>0</v>
      </c>
      <c r="L12" s="21" t="b">
        <v>0</v>
      </c>
      <c r="M12" s="21" t="b">
        <v>1</v>
      </c>
      <c r="N12" s="21" t="b">
        <v>1</v>
      </c>
      <c r="O12" s="21" t="b">
        <v>1</v>
      </c>
      <c r="P12" s="21" t="b">
        <v>1</v>
      </c>
      <c r="Q12" s="21" t="b">
        <v>1</v>
      </c>
      <c r="R12" s="21" t="b">
        <v>0</v>
      </c>
      <c r="S12" s="21" t="b">
        <v>0</v>
      </c>
      <c r="T12" s="21" t="b">
        <v>0</v>
      </c>
      <c r="U12" s="21" t="b">
        <v>0</v>
      </c>
      <c r="V12" s="21" t="b">
        <v>0</v>
      </c>
      <c r="W12" s="21" t="b">
        <v>0</v>
      </c>
      <c r="X12" s="21" t="b">
        <v>0</v>
      </c>
      <c r="Y12" s="21" t="b">
        <v>0</v>
      </c>
      <c r="Z12" s="21" t="b">
        <v>1</v>
      </c>
      <c r="AA12" s="21" t="b">
        <v>0</v>
      </c>
      <c r="AB12" s="21" t="b">
        <v>0</v>
      </c>
      <c r="AC12" s="21" t="b">
        <v>0</v>
      </c>
      <c r="AD12" s="21" t="b">
        <v>0</v>
      </c>
      <c r="AE12" s="21"/>
      <c r="AF12" s="21"/>
    </row>
    <row r="13">
      <c r="A13" s="31" t="s">
        <v>60</v>
      </c>
      <c r="B13" s="12">
        <f t="shared" si="1"/>
        <v>0.4615384615</v>
      </c>
      <c r="C13" s="12">
        <f t="shared" si="2"/>
        <v>0.2692307692</v>
      </c>
      <c r="D13" s="12"/>
      <c r="E13" s="21" t="b">
        <v>1</v>
      </c>
      <c r="F13" s="21" t="b">
        <v>0</v>
      </c>
      <c r="G13" s="21" t="b">
        <v>0</v>
      </c>
      <c r="H13" s="21" t="b">
        <v>0</v>
      </c>
      <c r="I13" s="21" t="b">
        <v>0</v>
      </c>
      <c r="J13" s="21" t="b">
        <v>0</v>
      </c>
      <c r="K13" s="21" t="b">
        <v>0</v>
      </c>
      <c r="L13" s="21" t="b">
        <v>0</v>
      </c>
      <c r="M13" s="21" t="b">
        <v>1</v>
      </c>
      <c r="N13" s="21" t="b">
        <v>1</v>
      </c>
      <c r="O13" s="21" t="b">
        <v>1</v>
      </c>
      <c r="P13" s="21" t="b">
        <v>1</v>
      </c>
      <c r="Q13" s="21" t="b">
        <v>1</v>
      </c>
      <c r="R13" s="21" t="b">
        <v>0</v>
      </c>
      <c r="S13" s="21" t="b">
        <v>0</v>
      </c>
      <c r="T13" s="21" t="b">
        <v>0</v>
      </c>
      <c r="U13" s="21" t="b">
        <v>0</v>
      </c>
      <c r="V13" s="21" t="b">
        <v>1</v>
      </c>
      <c r="W13" s="21" t="b">
        <v>0</v>
      </c>
      <c r="X13" s="21" t="b">
        <v>0</v>
      </c>
      <c r="Y13" s="21" t="b">
        <v>0</v>
      </c>
      <c r="Z13" s="21" t="b">
        <v>0</v>
      </c>
      <c r="AA13" s="21" t="b">
        <v>0</v>
      </c>
      <c r="AB13" s="21" t="b">
        <v>0</v>
      </c>
      <c r="AC13" s="21" t="b">
        <v>0</v>
      </c>
      <c r="AD13" s="21" t="b">
        <v>0</v>
      </c>
      <c r="AE13" s="21"/>
      <c r="AF13" s="21"/>
    </row>
    <row r="14">
      <c r="A14" s="31" t="s">
        <v>61</v>
      </c>
      <c r="B14" s="12">
        <f t="shared" si="1"/>
        <v>0.6153846154</v>
      </c>
      <c r="C14" s="12">
        <f t="shared" si="2"/>
        <v>0.3846153846</v>
      </c>
      <c r="D14" s="12"/>
      <c r="E14" s="21" t="b">
        <v>0</v>
      </c>
      <c r="F14" s="21" t="b">
        <v>1</v>
      </c>
      <c r="G14" s="21" t="b">
        <v>0</v>
      </c>
      <c r="H14" s="21" t="b">
        <v>1</v>
      </c>
      <c r="I14" s="21" t="b">
        <v>1</v>
      </c>
      <c r="J14" s="21" t="b">
        <v>0</v>
      </c>
      <c r="K14" s="21" t="b">
        <v>0</v>
      </c>
      <c r="L14" s="21" t="b">
        <v>0</v>
      </c>
      <c r="M14" s="21" t="b">
        <v>1</v>
      </c>
      <c r="N14" s="21" t="b">
        <v>1</v>
      </c>
      <c r="O14" s="21" t="b">
        <v>1</v>
      </c>
      <c r="P14" s="21" t="b">
        <v>1</v>
      </c>
      <c r="Q14" s="21" t="b">
        <v>1</v>
      </c>
      <c r="R14" s="21" t="b">
        <v>1</v>
      </c>
      <c r="S14" s="21" t="b">
        <v>0</v>
      </c>
      <c r="T14" s="21" t="b">
        <v>0</v>
      </c>
      <c r="U14" s="21" t="b">
        <v>1</v>
      </c>
      <c r="V14" s="21" t="b">
        <v>0</v>
      </c>
      <c r="W14" s="21" t="b">
        <v>0</v>
      </c>
      <c r="X14" s="21" t="b">
        <v>0</v>
      </c>
      <c r="Y14" s="21" t="b">
        <v>0</v>
      </c>
      <c r="Z14" s="21" t="b">
        <v>0</v>
      </c>
      <c r="AA14" s="21" t="b">
        <v>0</v>
      </c>
      <c r="AB14" s="21" t="b">
        <v>0</v>
      </c>
      <c r="AC14" s="21" t="b">
        <v>0</v>
      </c>
      <c r="AD14" s="21" t="b">
        <v>0</v>
      </c>
      <c r="AE14" s="21"/>
      <c r="AF14" s="21"/>
    </row>
    <row r="15">
      <c r="A15" s="31" t="s">
        <v>62</v>
      </c>
      <c r="B15" s="12">
        <f t="shared" si="1"/>
        <v>0.3076923077</v>
      </c>
      <c r="C15" s="12">
        <f t="shared" si="2"/>
        <v>0.1923076923</v>
      </c>
      <c r="D15" s="12"/>
      <c r="E15" s="21" t="b">
        <v>0</v>
      </c>
      <c r="F15" s="21" t="b">
        <v>0</v>
      </c>
      <c r="G15" s="21" t="b">
        <v>0</v>
      </c>
      <c r="H15" s="21" t="b">
        <v>0</v>
      </c>
      <c r="I15" s="21" t="b">
        <v>0</v>
      </c>
      <c r="J15" s="21" t="b">
        <v>0</v>
      </c>
      <c r="K15" s="21" t="b">
        <v>0</v>
      </c>
      <c r="L15" s="21" t="b">
        <v>0</v>
      </c>
      <c r="M15" s="21" t="b">
        <v>1</v>
      </c>
      <c r="N15" s="21" t="b">
        <v>1</v>
      </c>
      <c r="O15" s="21" t="b">
        <v>0</v>
      </c>
      <c r="P15" s="21" t="b">
        <v>1</v>
      </c>
      <c r="Q15" s="21" t="b">
        <v>1</v>
      </c>
      <c r="R15" s="21" t="b">
        <v>0</v>
      </c>
      <c r="S15" s="21" t="b">
        <v>0</v>
      </c>
      <c r="T15" s="21" t="b">
        <v>0</v>
      </c>
      <c r="U15" s="21" t="b">
        <v>0</v>
      </c>
      <c r="V15" s="21" t="b">
        <v>1</v>
      </c>
      <c r="W15" s="21" t="b">
        <v>0</v>
      </c>
      <c r="X15" s="21" t="b">
        <v>0</v>
      </c>
      <c r="Y15" s="21" t="b">
        <v>0</v>
      </c>
      <c r="Z15" s="21" t="b">
        <v>0</v>
      </c>
      <c r="AA15" s="21" t="b">
        <v>0</v>
      </c>
      <c r="AB15" s="21" t="b">
        <v>0</v>
      </c>
      <c r="AC15" s="21" t="b">
        <v>0</v>
      </c>
      <c r="AD15" s="21" t="b">
        <v>0</v>
      </c>
      <c r="AE15" s="21"/>
      <c r="AF15" s="21"/>
    </row>
    <row r="16">
      <c r="A16" s="31" t="s">
        <v>63</v>
      </c>
      <c r="B16" s="12">
        <f t="shared" si="1"/>
        <v>0.5384615385</v>
      </c>
      <c r="C16" s="12">
        <f t="shared" si="2"/>
        <v>0.3076923077</v>
      </c>
      <c r="D16" s="12"/>
      <c r="E16" s="21" t="b">
        <v>0</v>
      </c>
      <c r="F16" s="21" t="b">
        <v>1</v>
      </c>
      <c r="G16" s="21" t="b">
        <v>0</v>
      </c>
      <c r="H16" s="21" t="b">
        <v>0</v>
      </c>
      <c r="I16" s="21" t="b">
        <v>0</v>
      </c>
      <c r="J16" s="21" t="b">
        <v>0</v>
      </c>
      <c r="K16" s="21" t="b">
        <v>0</v>
      </c>
      <c r="L16" s="21" t="b">
        <v>1</v>
      </c>
      <c r="M16" s="21" t="b">
        <v>1</v>
      </c>
      <c r="N16" s="21" t="b">
        <v>1</v>
      </c>
      <c r="O16" s="21" t="b">
        <v>1</v>
      </c>
      <c r="P16" s="21" t="b">
        <v>1</v>
      </c>
      <c r="Q16" s="21" t="b">
        <v>1</v>
      </c>
      <c r="R16" s="21" t="b">
        <v>0</v>
      </c>
      <c r="S16" s="21" t="b">
        <v>0</v>
      </c>
      <c r="T16" s="21" t="b">
        <v>0</v>
      </c>
      <c r="U16" s="21" t="b">
        <v>1</v>
      </c>
      <c r="V16" s="21" t="b">
        <v>0</v>
      </c>
      <c r="W16" s="21" t="b">
        <v>0</v>
      </c>
      <c r="X16" s="21" t="b">
        <v>0</v>
      </c>
      <c r="Y16" s="21" t="b">
        <v>0</v>
      </c>
      <c r="Z16" s="21" t="b">
        <v>0</v>
      </c>
      <c r="AA16" s="21" t="b">
        <v>0</v>
      </c>
      <c r="AB16" s="21" t="b">
        <v>0</v>
      </c>
      <c r="AC16" s="21" t="b">
        <v>0</v>
      </c>
      <c r="AD16" s="21" t="b">
        <v>0</v>
      </c>
      <c r="AE16" s="21"/>
      <c r="AF16" s="21"/>
    </row>
    <row r="17">
      <c r="A17" s="10" t="s">
        <v>64</v>
      </c>
      <c r="B17" s="10">
        <v>13.0</v>
      </c>
      <c r="C17" s="10">
        <v>26.0</v>
      </c>
      <c r="E17" s="42">
        <f t="shared" ref="E17:AD17" si="3">COUNTIF(E2:E16, TRUE)</f>
        <v>3</v>
      </c>
      <c r="F17" s="42">
        <f t="shared" si="3"/>
        <v>7</v>
      </c>
      <c r="G17" s="42">
        <f t="shared" si="3"/>
        <v>1</v>
      </c>
      <c r="H17" s="42">
        <f t="shared" si="3"/>
        <v>4</v>
      </c>
      <c r="I17" s="42">
        <f t="shared" si="3"/>
        <v>1</v>
      </c>
      <c r="J17" s="42">
        <f t="shared" si="3"/>
        <v>1</v>
      </c>
      <c r="K17" s="42">
        <f t="shared" si="3"/>
        <v>0</v>
      </c>
      <c r="L17" s="42">
        <f t="shared" si="3"/>
        <v>2</v>
      </c>
      <c r="M17" s="42">
        <f t="shared" si="3"/>
        <v>15</v>
      </c>
      <c r="N17" s="42">
        <f t="shared" si="3"/>
        <v>14</v>
      </c>
      <c r="O17" s="42">
        <f t="shared" si="3"/>
        <v>9</v>
      </c>
      <c r="P17" s="42">
        <f t="shared" si="3"/>
        <v>15</v>
      </c>
      <c r="Q17" s="42">
        <f t="shared" si="3"/>
        <v>15</v>
      </c>
      <c r="R17" s="42">
        <f t="shared" si="3"/>
        <v>4</v>
      </c>
      <c r="S17" s="42">
        <f t="shared" si="3"/>
        <v>0</v>
      </c>
      <c r="T17" s="42">
        <f t="shared" si="3"/>
        <v>0</v>
      </c>
      <c r="U17" s="42">
        <f t="shared" si="3"/>
        <v>2</v>
      </c>
      <c r="V17" s="42">
        <f t="shared" si="3"/>
        <v>5</v>
      </c>
      <c r="W17" s="42">
        <f t="shared" si="3"/>
        <v>0</v>
      </c>
      <c r="X17" s="42">
        <f t="shared" si="3"/>
        <v>0</v>
      </c>
      <c r="Y17" s="42">
        <f t="shared" si="3"/>
        <v>0</v>
      </c>
      <c r="Z17" s="42">
        <f t="shared" si="3"/>
        <v>2</v>
      </c>
      <c r="AA17" s="42">
        <f t="shared" si="3"/>
        <v>1</v>
      </c>
      <c r="AB17" s="42">
        <f t="shared" si="3"/>
        <v>3</v>
      </c>
      <c r="AC17" s="42">
        <f t="shared" si="3"/>
        <v>0</v>
      </c>
      <c r="AD17" s="42">
        <f t="shared" si="3"/>
        <v>0</v>
      </c>
    </row>
    <row r="20">
      <c r="E20" s="32" t="s">
        <v>65</v>
      </c>
    </row>
    <row r="21">
      <c r="E21" s="34" t="s">
        <v>66</v>
      </c>
    </row>
    <row r="22">
      <c r="A22" s="48"/>
      <c r="E22" s="36" t="s">
        <v>28</v>
      </c>
    </row>
    <row r="23">
      <c r="E23" s="37" t="s">
        <v>68</v>
      </c>
    </row>
  </sheetData>
  <conditionalFormatting sqref="E2:AF16">
    <cfRule type="cellIs" dxfId="0" priority="1" operator="equal">
      <formula>"TRUE"</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7.75"/>
    <col customWidth="1" min="3" max="4" width="7.38"/>
  </cols>
  <sheetData>
    <row r="1">
      <c r="B1" s="10" t="s">
        <v>29</v>
      </c>
      <c r="C1" s="10" t="s">
        <v>30</v>
      </c>
      <c r="D1" s="10" t="s">
        <v>31</v>
      </c>
      <c r="E1" s="21" t="s">
        <v>241</v>
      </c>
      <c r="F1" s="21" t="s">
        <v>242</v>
      </c>
      <c r="G1" s="21" t="s">
        <v>243</v>
      </c>
      <c r="H1" s="21" t="s">
        <v>244</v>
      </c>
      <c r="I1" s="21" t="s">
        <v>245</v>
      </c>
      <c r="J1" s="21" t="s">
        <v>246</v>
      </c>
      <c r="K1" s="21" t="s">
        <v>247</v>
      </c>
      <c r="L1" s="21" t="s">
        <v>248</v>
      </c>
      <c r="M1" s="21" t="s">
        <v>249</v>
      </c>
      <c r="N1" s="21" t="s">
        <v>250</v>
      </c>
      <c r="O1" s="21" t="s">
        <v>251</v>
      </c>
      <c r="P1" s="21" t="s">
        <v>252</v>
      </c>
      <c r="Q1" s="21" t="s">
        <v>253</v>
      </c>
      <c r="R1" s="21" t="s">
        <v>254</v>
      </c>
      <c r="S1" s="23" t="s">
        <v>93</v>
      </c>
      <c r="T1" s="23" t="s">
        <v>93</v>
      </c>
      <c r="U1" s="23" t="s">
        <v>255</v>
      </c>
      <c r="V1" s="23" t="s">
        <v>255</v>
      </c>
      <c r="W1" s="24" t="s">
        <v>256</v>
      </c>
      <c r="X1" s="24" t="s">
        <v>257</v>
      </c>
      <c r="Y1" s="24" t="s">
        <v>258</v>
      </c>
      <c r="Z1" s="25" t="s">
        <v>125</v>
      </c>
      <c r="AA1" s="25" t="s">
        <v>125</v>
      </c>
      <c r="AB1" s="25" t="s">
        <v>125</v>
      </c>
      <c r="AC1" s="25" t="s">
        <v>125</v>
      </c>
    </row>
    <row r="2">
      <c r="A2" s="31" t="s">
        <v>49</v>
      </c>
      <c r="B2" s="12">
        <f t="shared" ref="B2:B16" si="1">COUNTIF(E2:V2, TRUE) / COUNTA(E2:V2)</f>
        <v>0.5</v>
      </c>
      <c r="C2" s="12">
        <f t="shared" ref="C2:C16" si="2">COUNTIF(E2:AC2, TRUE) / COUNTA(E2:AC2)</f>
        <v>0.4</v>
      </c>
      <c r="D2" s="12"/>
      <c r="E2" s="21" t="b">
        <v>0</v>
      </c>
      <c r="F2" s="21" t="b">
        <v>1</v>
      </c>
      <c r="G2" s="21" t="b">
        <v>1</v>
      </c>
      <c r="H2" s="21" t="b">
        <v>0</v>
      </c>
      <c r="I2" s="21" t="b">
        <v>0</v>
      </c>
      <c r="J2" s="21" t="b">
        <v>1</v>
      </c>
      <c r="K2" s="21" t="b">
        <v>0</v>
      </c>
      <c r="L2" s="21" t="b">
        <v>0</v>
      </c>
      <c r="M2" s="21" t="b">
        <v>0</v>
      </c>
      <c r="N2" s="21" t="b">
        <v>0</v>
      </c>
      <c r="O2" s="21" t="b">
        <v>1</v>
      </c>
      <c r="P2" s="21" t="b">
        <v>0</v>
      </c>
      <c r="Q2" s="21" t="b">
        <v>0</v>
      </c>
      <c r="R2" s="21" t="b">
        <v>1</v>
      </c>
      <c r="S2" s="21" t="b">
        <v>1</v>
      </c>
      <c r="T2" s="21" t="b">
        <v>1</v>
      </c>
      <c r="U2" s="21" t="b">
        <v>1</v>
      </c>
      <c r="V2" s="21" t="b">
        <v>1</v>
      </c>
      <c r="W2" s="21" t="b">
        <v>1</v>
      </c>
      <c r="X2" s="21" t="b">
        <v>0</v>
      </c>
      <c r="Y2" s="21" t="b">
        <v>0</v>
      </c>
      <c r="Z2" s="21" t="b">
        <v>0</v>
      </c>
      <c r="AA2" s="21" t="b">
        <v>0</v>
      </c>
      <c r="AB2" s="21" t="b">
        <v>0</v>
      </c>
      <c r="AC2" s="21" t="b">
        <v>0</v>
      </c>
    </row>
    <row r="3">
      <c r="A3" s="31" t="s">
        <v>50</v>
      </c>
      <c r="B3" s="12">
        <f t="shared" si="1"/>
        <v>0.4444444444</v>
      </c>
      <c r="C3" s="12">
        <f t="shared" si="2"/>
        <v>0.36</v>
      </c>
      <c r="E3" s="21" t="b">
        <v>0</v>
      </c>
      <c r="F3" s="21" t="b">
        <v>1</v>
      </c>
      <c r="G3" s="21" t="b">
        <v>0</v>
      </c>
      <c r="H3" s="21" t="b">
        <v>0</v>
      </c>
      <c r="I3" s="21" t="b">
        <v>0</v>
      </c>
      <c r="J3" s="21" t="b">
        <v>0</v>
      </c>
      <c r="K3" s="21" t="b">
        <v>0</v>
      </c>
      <c r="L3" s="21" t="b">
        <v>0</v>
      </c>
      <c r="M3" s="21" t="b">
        <v>0</v>
      </c>
      <c r="N3" s="21" t="b">
        <v>0</v>
      </c>
      <c r="O3" s="21" t="b">
        <v>1</v>
      </c>
      <c r="P3" s="21" t="b">
        <v>1</v>
      </c>
      <c r="Q3" s="21" t="b">
        <v>0</v>
      </c>
      <c r="R3" s="21" t="b">
        <v>1</v>
      </c>
      <c r="S3" s="21" t="b">
        <v>1</v>
      </c>
      <c r="T3" s="21" t="b">
        <v>1</v>
      </c>
      <c r="U3" s="21" t="b">
        <v>1</v>
      </c>
      <c r="V3" s="21" t="b">
        <v>1</v>
      </c>
      <c r="W3" s="21" t="b">
        <v>1</v>
      </c>
      <c r="X3" s="21" t="b">
        <v>0</v>
      </c>
      <c r="Y3" s="21" t="b">
        <v>0</v>
      </c>
      <c r="Z3" s="21" t="b">
        <v>0</v>
      </c>
      <c r="AA3" s="21" t="b">
        <v>0</v>
      </c>
      <c r="AB3" s="21" t="b">
        <v>0</v>
      </c>
      <c r="AC3" s="21" t="b">
        <v>0</v>
      </c>
    </row>
    <row r="4">
      <c r="A4" s="31" t="s">
        <v>51</v>
      </c>
      <c r="B4" s="12">
        <f t="shared" si="1"/>
        <v>0.3888888889</v>
      </c>
      <c r="C4" s="12">
        <f t="shared" si="2"/>
        <v>0.36</v>
      </c>
      <c r="D4" s="12"/>
      <c r="E4" s="21" t="b">
        <v>0</v>
      </c>
      <c r="F4" s="21" t="b">
        <v>1</v>
      </c>
      <c r="G4" s="21" t="b">
        <v>0</v>
      </c>
      <c r="H4" s="21" t="b">
        <v>0</v>
      </c>
      <c r="I4" s="21" t="b">
        <v>0</v>
      </c>
      <c r="J4" s="21" t="b">
        <v>0</v>
      </c>
      <c r="K4" s="21" t="b">
        <v>0</v>
      </c>
      <c r="L4" s="21" t="b">
        <v>0</v>
      </c>
      <c r="M4" s="21" t="b">
        <v>0</v>
      </c>
      <c r="N4" s="21" t="b">
        <v>0</v>
      </c>
      <c r="O4" s="21" t="b">
        <v>1</v>
      </c>
      <c r="P4" s="21" t="b">
        <v>0</v>
      </c>
      <c r="Q4" s="21" t="b">
        <v>0</v>
      </c>
      <c r="R4" s="21" t="b">
        <v>1</v>
      </c>
      <c r="S4" s="21" t="b">
        <v>1</v>
      </c>
      <c r="T4" s="21" t="b">
        <v>1</v>
      </c>
      <c r="U4" s="21" t="b">
        <v>1</v>
      </c>
      <c r="V4" s="21" t="b">
        <v>1</v>
      </c>
      <c r="W4" s="21" t="b">
        <v>1</v>
      </c>
      <c r="X4" s="21" t="b">
        <v>0</v>
      </c>
      <c r="Y4" s="21" t="b">
        <v>0</v>
      </c>
      <c r="Z4" s="21" t="b">
        <v>1</v>
      </c>
      <c r="AA4" s="21" t="b">
        <v>0</v>
      </c>
      <c r="AB4" s="21" t="b">
        <v>0</v>
      </c>
      <c r="AC4" s="21" t="b">
        <v>0</v>
      </c>
    </row>
    <row r="5">
      <c r="A5" s="31" t="s">
        <v>52</v>
      </c>
      <c r="B5" s="12">
        <f t="shared" si="1"/>
        <v>0.3888888889</v>
      </c>
      <c r="C5" s="12">
        <f t="shared" si="2"/>
        <v>0.32</v>
      </c>
      <c r="D5" s="12"/>
      <c r="E5" s="21" t="b">
        <v>0</v>
      </c>
      <c r="F5" s="21" t="b">
        <v>0</v>
      </c>
      <c r="G5" s="21" t="b">
        <v>0</v>
      </c>
      <c r="H5" s="21" t="b">
        <v>0</v>
      </c>
      <c r="I5" s="21" t="b">
        <v>0</v>
      </c>
      <c r="J5" s="21" t="b">
        <v>0</v>
      </c>
      <c r="K5" s="21" t="b">
        <v>0</v>
      </c>
      <c r="L5" s="21" t="b">
        <v>0</v>
      </c>
      <c r="M5" s="21" t="b">
        <v>0</v>
      </c>
      <c r="N5" s="21" t="b">
        <v>0</v>
      </c>
      <c r="O5" s="21" t="b">
        <v>1</v>
      </c>
      <c r="P5" s="21" t="b">
        <v>1</v>
      </c>
      <c r="Q5" s="21" t="b">
        <v>0</v>
      </c>
      <c r="R5" s="21" t="b">
        <v>1</v>
      </c>
      <c r="S5" s="21" t="b">
        <v>1</v>
      </c>
      <c r="T5" s="21" t="b">
        <v>1</v>
      </c>
      <c r="U5" s="21" t="b">
        <v>1</v>
      </c>
      <c r="V5" s="21" t="b">
        <v>1</v>
      </c>
      <c r="W5" s="21" t="b">
        <v>1</v>
      </c>
      <c r="X5" s="21" t="b">
        <v>0</v>
      </c>
      <c r="Y5" s="21" t="b">
        <v>0</v>
      </c>
      <c r="Z5" s="21" t="b">
        <v>0</v>
      </c>
      <c r="AA5" s="21" t="b">
        <v>0</v>
      </c>
      <c r="AB5" s="21" t="b">
        <v>0</v>
      </c>
      <c r="AC5" s="21" t="b">
        <v>0</v>
      </c>
    </row>
    <row r="6">
      <c r="A6" s="31" t="s">
        <v>53</v>
      </c>
      <c r="B6" s="12">
        <f t="shared" si="1"/>
        <v>0.3333333333</v>
      </c>
      <c r="C6" s="12">
        <f t="shared" si="2"/>
        <v>0.28</v>
      </c>
      <c r="D6" s="12"/>
      <c r="E6" s="21" t="b">
        <v>0</v>
      </c>
      <c r="F6" s="21" t="b">
        <v>0</v>
      </c>
      <c r="G6" s="21" t="b">
        <v>0</v>
      </c>
      <c r="H6" s="21" t="b">
        <v>0</v>
      </c>
      <c r="I6" s="21" t="b">
        <v>0</v>
      </c>
      <c r="J6" s="21" t="b">
        <v>0</v>
      </c>
      <c r="K6" s="21" t="b">
        <v>0</v>
      </c>
      <c r="L6" s="21" t="b">
        <v>0</v>
      </c>
      <c r="M6" s="21" t="b">
        <v>0</v>
      </c>
      <c r="N6" s="21" t="b">
        <v>0</v>
      </c>
      <c r="O6" s="21" t="b">
        <v>1</v>
      </c>
      <c r="P6" s="21" t="b">
        <v>0</v>
      </c>
      <c r="Q6" s="21" t="b">
        <v>0</v>
      </c>
      <c r="R6" s="21" t="b">
        <v>1</v>
      </c>
      <c r="S6" s="21" t="b">
        <v>1</v>
      </c>
      <c r="T6" s="21" t="b">
        <v>1</v>
      </c>
      <c r="U6" s="21" t="b">
        <v>1</v>
      </c>
      <c r="V6" s="21" t="b">
        <v>1</v>
      </c>
      <c r="W6" s="21" t="b">
        <v>1</v>
      </c>
      <c r="X6" s="21" t="b">
        <v>0</v>
      </c>
      <c r="Y6" s="21" t="b">
        <v>0</v>
      </c>
      <c r="Z6" s="21" t="b">
        <v>0</v>
      </c>
      <c r="AA6" s="21" t="b">
        <v>0</v>
      </c>
      <c r="AB6" s="21" t="b">
        <v>0</v>
      </c>
      <c r="AC6" s="21" t="b">
        <v>0</v>
      </c>
    </row>
    <row r="7">
      <c r="A7" s="31" t="s">
        <v>54</v>
      </c>
      <c r="B7" s="12">
        <f t="shared" si="1"/>
        <v>0.6111111111</v>
      </c>
      <c r="C7" s="12">
        <f t="shared" si="2"/>
        <v>0.48</v>
      </c>
      <c r="D7" s="12"/>
      <c r="E7" s="21" t="b">
        <v>0</v>
      </c>
      <c r="F7" s="21" t="b">
        <v>1</v>
      </c>
      <c r="G7" s="21" t="b">
        <v>1</v>
      </c>
      <c r="H7" s="21" t="b">
        <v>0</v>
      </c>
      <c r="I7" s="21" t="b">
        <v>1</v>
      </c>
      <c r="J7" s="21" t="b">
        <v>1</v>
      </c>
      <c r="K7" s="21" t="b">
        <v>0</v>
      </c>
      <c r="L7" s="21" t="b">
        <v>0</v>
      </c>
      <c r="M7" s="21" t="b">
        <v>0</v>
      </c>
      <c r="N7" s="21" t="b">
        <v>1</v>
      </c>
      <c r="O7" s="21" t="b">
        <v>1</v>
      </c>
      <c r="P7" s="21" t="b">
        <v>0</v>
      </c>
      <c r="Q7" s="21" t="b">
        <v>0</v>
      </c>
      <c r="R7" s="21" t="b">
        <v>1</v>
      </c>
      <c r="S7" s="21" t="b">
        <v>1</v>
      </c>
      <c r="T7" s="21" t="b">
        <v>1</v>
      </c>
      <c r="U7" s="21" t="b">
        <v>1</v>
      </c>
      <c r="V7" s="21" t="b">
        <v>1</v>
      </c>
      <c r="W7" s="21" t="b">
        <v>1</v>
      </c>
      <c r="X7" s="21" t="b">
        <v>0</v>
      </c>
      <c r="Y7" s="21" t="b">
        <v>0</v>
      </c>
      <c r="Z7" s="21" t="b">
        <v>0</v>
      </c>
      <c r="AA7" s="21" t="b">
        <v>0</v>
      </c>
      <c r="AB7" s="21" t="b">
        <v>0</v>
      </c>
      <c r="AC7" s="21" t="b">
        <v>0</v>
      </c>
    </row>
    <row r="8">
      <c r="A8" s="31" t="s">
        <v>55</v>
      </c>
      <c r="B8" s="12">
        <f t="shared" si="1"/>
        <v>0.6111111111</v>
      </c>
      <c r="C8" s="12">
        <f t="shared" si="2"/>
        <v>0.48</v>
      </c>
      <c r="D8" s="12"/>
      <c r="E8" s="21" t="b">
        <v>1</v>
      </c>
      <c r="F8" s="21" t="b">
        <v>1</v>
      </c>
      <c r="G8" s="21" t="b">
        <v>0</v>
      </c>
      <c r="H8" s="21" t="b">
        <v>0</v>
      </c>
      <c r="I8" s="21" t="b">
        <v>1</v>
      </c>
      <c r="J8" s="21" t="b">
        <v>1</v>
      </c>
      <c r="K8" s="21" t="b">
        <v>0</v>
      </c>
      <c r="L8" s="21" t="b">
        <v>0</v>
      </c>
      <c r="M8" s="21" t="b">
        <v>0</v>
      </c>
      <c r="N8" s="21" t="b">
        <v>0</v>
      </c>
      <c r="O8" s="21" t="b">
        <v>1</v>
      </c>
      <c r="P8" s="21" t="b">
        <v>1</v>
      </c>
      <c r="Q8" s="21" t="b">
        <v>0</v>
      </c>
      <c r="R8" s="21" t="b">
        <v>1</v>
      </c>
      <c r="S8" s="21" t="b">
        <v>1</v>
      </c>
      <c r="T8" s="21" t="b">
        <v>1</v>
      </c>
      <c r="U8" s="21" t="b">
        <v>1</v>
      </c>
      <c r="V8" s="21" t="b">
        <v>1</v>
      </c>
      <c r="W8" s="21" t="b">
        <v>1</v>
      </c>
      <c r="X8" s="21" t="b">
        <v>0</v>
      </c>
      <c r="Y8" s="21" t="b">
        <v>0</v>
      </c>
      <c r="Z8" s="21" t="b">
        <v>0</v>
      </c>
      <c r="AA8" s="21" t="b">
        <v>0</v>
      </c>
      <c r="AB8" s="21" t="b">
        <v>0</v>
      </c>
      <c r="AC8" s="21" t="b">
        <v>0</v>
      </c>
    </row>
    <row r="9">
      <c r="A9" s="31" t="s">
        <v>56</v>
      </c>
      <c r="B9" s="12">
        <f t="shared" si="1"/>
        <v>0.6111111111</v>
      </c>
      <c r="C9" s="12">
        <f t="shared" si="2"/>
        <v>0.48</v>
      </c>
      <c r="D9" s="12"/>
      <c r="E9" s="21" t="b">
        <v>0</v>
      </c>
      <c r="F9" s="21" t="b">
        <v>1</v>
      </c>
      <c r="G9" s="21" t="b">
        <v>1</v>
      </c>
      <c r="H9" s="21" t="b">
        <v>0</v>
      </c>
      <c r="I9" s="21" t="b">
        <v>0</v>
      </c>
      <c r="J9" s="21" t="b">
        <v>1</v>
      </c>
      <c r="K9" s="21" t="b">
        <v>0</v>
      </c>
      <c r="L9" s="21" t="b">
        <v>1</v>
      </c>
      <c r="M9" s="21" t="b">
        <v>1</v>
      </c>
      <c r="N9" s="21" t="b">
        <v>0</v>
      </c>
      <c r="O9" s="21" t="b">
        <v>1</v>
      </c>
      <c r="P9" s="21" t="b">
        <v>0</v>
      </c>
      <c r="Q9" s="21" t="b">
        <v>0</v>
      </c>
      <c r="R9" s="21" t="b">
        <v>1</v>
      </c>
      <c r="S9" s="21" t="b">
        <v>1</v>
      </c>
      <c r="T9" s="21" t="b">
        <v>1</v>
      </c>
      <c r="U9" s="21" t="b">
        <v>1</v>
      </c>
      <c r="V9" s="21" t="b">
        <v>1</v>
      </c>
      <c r="W9" s="21" t="b">
        <v>1</v>
      </c>
      <c r="X9" s="21" t="b">
        <v>0</v>
      </c>
      <c r="Y9" s="21" t="b">
        <v>0</v>
      </c>
      <c r="Z9" s="21" t="b">
        <v>0</v>
      </c>
      <c r="AA9" s="21" t="b">
        <v>0</v>
      </c>
      <c r="AB9" s="21" t="b">
        <v>0</v>
      </c>
      <c r="AC9" s="21" t="b">
        <v>0</v>
      </c>
    </row>
    <row r="10">
      <c r="A10" s="31" t="s">
        <v>57</v>
      </c>
      <c r="B10" s="12">
        <f t="shared" si="1"/>
        <v>0.5</v>
      </c>
      <c r="C10" s="12">
        <f t="shared" si="2"/>
        <v>0.44</v>
      </c>
      <c r="D10" s="12"/>
      <c r="E10" s="21" t="b">
        <v>0</v>
      </c>
      <c r="F10" s="21" t="b">
        <v>1</v>
      </c>
      <c r="G10" s="21" t="b">
        <v>0</v>
      </c>
      <c r="H10" s="21" t="b">
        <v>0</v>
      </c>
      <c r="I10" s="21" t="b">
        <v>0</v>
      </c>
      <c r="J10" s="21" t="b">
        <v>1</v>
      </c>
      <c r="K10" s="21" t="b">
        <v>0</v>
      </c>
      <c r="L10" s="21" t="b">
        <v>1</v>
      </c>
      <c r="M10" s="21" t="b">
        <v>0</v>
      </c>
      <c r="N10" s="21" t="b">
        <v>0</v>
      </c>
      <c r="O10" s="21" t="b">
        <v>1</v>
      </c>
      <c r="P10" s="21" t="b">
        <v>0</v>
      </c>
      <c r="Q10" s="21" t="b">
        <v>0</v>
      </c>
      <c r="R10" s="21" t="b">
        <v>1</v>
      </c>
      <c r="S10" s="21" t="b">
        <v>1</v>
      </c>
      <c r="T10" s="21" t="b">
        <v>1</v>
      </c>
      <c r="U10" s="21" t="b">
        <v>1</v>
      </c>
      <c r="V10" s="21" t="b">
        <v>1</v>
      </c>
      <c r="W10" s="21" t="b">
        <v>1</v>
      </c>
      <c r="X10" s="21" t="b">
        <v>0</v>
      </c>
      <c r="Y10" s="21" t="b">
        <v>1</v>
      </c>
      <c r="Z10" s="21" t="b">
        <v>0</v>
      </c>
      <c r="AA10" s="21" t="b">
        <v>0</v>
      </c>
      <c r="AB10" s="21" t="b">
        <v>0</v>
      </c>
      <c r="AC10" s="21" t="b">
        <v>0</v>
      </c>
    </row>
    <row r="11">
      <c r="A11" s="31" t="s">
        <v>58</v>
      </c>
      <c r="B11" s="12">
        <f t="shared" si="1"/>
        <v>0.3888888889</v>
      </c>
      <c r="C11" s="12">
        <f t="shared" si="2"/>
        <v>0.32</v>
      </c>
      <c r="D11" s="12"/>
      <c r="E11" s="21" t="b">
        <v>0</v>
      </c>
      <c r="F11" s="21" t="b">
        <v>1</v>
      </c>
      <c r="G11" s="21" t="b">
        <v>0</v>
      </c>
      <c r="H11" s="21" t="b">
        <v>0</v>
      </c>
      <c r="I11" s="21" t="b">
        <v>0</v>
      </c>
      <c r="J11" s="21" t="b">
        <v>0</v>
      </c>
      <c r="K11" s="21" t="b">
        <v>0</v>
      </c>
      <c r="L11" s="21" t="b">
        <v>0</v>
      </c>
      <c r="M11" s="21" t="b">
        <v>0</v>
      </c>
      <c r="N11" s="21" t="b">
        <v>0</v>
      </c>
      <c r="O11" s="21" t="b">
        <v>0</v>
      </c>
      <c r="P11" s="21" t="b">
        <v>1</v>
      </c>
      <c r="Q11" s="21" t="b">
        <v>0</v>
      </c>
      <c r="R11" s="21" t="b">
        <v>1</v>
      </c>
      <c r="S11" s="21" t="b">
        <v>1</v>
      </c>
      <c r="T11" s="21" t="b">
        <v>1</v>
      </c>
      <c r="U11" s="21" t="b">
        <v>1</v>
      </c>
      <c r="V11" s="21" t="b">
        <v>1</v>
      </c>
      <c r="W11" s="21" t="b">
        <v>1</v>
      </c>
      <c r="X11" s="21" t="b">
        <v>0</v>
      </c>
      <c r="Y11" s="21" t="b">
        <v>0</v>
      </c>
      <c r="Z11" s="21" t="b">
        <v>0</v>
      </c>
      <c r="AA11" s="21" t="b">
        <v>0</v>
      </c>
      <c r="AB11" s="21" t="b">
        <v>0</v>
      </c>
      <c r="AC11" s="21" t="b">
        <v>0</v>
      </c>
    </row>
    <row r="12">
      <c r="A12" s="31" t="s">
        <v>59</v>
      </c>
      <c r="B12" s="12">
        <f t="shared" si="1"/>
        <v>0.3333333333</v>
      </c>
      <c r="C12" s="12">
        <f t="shared" si="2"/>
        <v>0.32</v>
      </c>
      <c r="D12" s="12"/>
      <c r="E12" s="21" t="b">
        <v>0</v>
      </c>
      <c r="F12" s="21" t="b">
        <v>1</v>
      </c>
      <c r="G12" s="21" t="b">
        <v>0</v>
      </c>
      <c r="H12" s="21" t="b">
        <v>0</v>
      </c>
      <c r="I12" s="21" t="b">
        <v>0</v>
      </c>
      <c r="J12" s="21" t="b">
        <v>0</v>
      </c>
      <c r="K12" s="21" t="b">
        <v>0</v>
      </c>
      <c r="L12" s="21" t="b">
        <v>0</v>
      </c>
      <c r="M12" s="21" t="b">
        <v>0</v>
      </c>
      <c r="N12" s="21" t="b">
        <v>0</v>
      </c>
      <c r="O12" s="21" t="b">
        <v>0</v>
      </c>
      <c r="P12" s="21" t="b">
        <v>0</v>
      </c>
      <c r="Q12" s="21" t="b">
        <v>0</v>
      </c>
      <c r="R12" s="21" t="b">
        <v>1</v>
      </c>
      <c r="S12" s="21" t="b">
        <v>1</v>
      </c>
      <c r="T12" s="21" t="b">
        <v>1</v>
      </c>
      <c r="U12" s="21" t="b">
        <v>1</v>
      </c>
      <c r="V12" s="21" t="b">
        <v>1</v>
      </c>
      <c r="W12" s="21" t="b">
        <v>1</v>
      </c>
      <c r="X12" s="21" t="b">
        <v>0</v>
      </c>
      <c r="Y12" s="21" t="b">
        <v>0</v>
      </c>
      <c r="Z12" s="21" t="b">
        <v>1</v>
      </c>
      <c r="AA12" s="21" t="b">
        <v>0</v>
      </c>
      <c r="AB12" s="21" t="b">
        <v>0</v>
      </c>
      <c r="AC12" s="21" t="b">
        <v>0</v>
      </c>
    </row>
    <row r="13">
      <c r="A13" s="31" t="s">
        <v>60</v>
      </c>
      <c r="B13" s="12">
        <f t="shared" si="1"/>
        <v>0.5</v>
      </c>
      <c r="C13" s="12">
        <f t="shared" si="2"/>
        <v>0.4</v>
      </c>
      <c r="D13" s="12"/>
      <c r="E13" s="21" t="b">
        <v>1</v>
      </c>
      <c r="F13" s="21" t="b">
        <v>0</v>
      </c>
      <c r="G13" s="21" t="b">
        <v>1</v>
      </c>
      <c r="H13" s="21" t="b">
        <v>0</v>
      </c>
      <c r="I13" s="21" t="b">
        <v>0</v>
      </c>
      <c r="J13" s="21" t="b">
        <v>0</v>
      </c>
      <c r="K13" s="21" t="b">
        <v>0</v>
      </c>
      <c r="L13" s="21" t="b">
        <v>0</v>
      </c>
      <c r="M13" s="21" t="b">
        <v>0</v>
      </c>
      <c r="N13" s="21" t="b">
        <v>0</v>
      </c>
      <c r="O13" s="21" t="b">
        <v>1</v>
      </c>
      <c r="P13" s="21" t="b">
        <v>1</v>
      </c>
      <c r="Q13" s="21" t="b">
        <v>0</v>
      </c>
      <c r="R13" s="21" t="b">
        <v>1</v>
      </c>
      <c r="S13" s="21" t="b">
        <v>1</v>
      </c>
      <c r="T13" s="21" t="b">
        <v>1</v>
      </c>
      <c r="U13" s="21" t="b">
        <v>1</v>
      </c>
      <c r="V13" s="21" t="b">
        <v>1</v>
      </c>
      <c r="W13" s="21" t="b">
        <v>1</v>
      </c>
      <c r="X13" s="21" t="b">
        <v>0</v>
      </c>
      <c r="Y13" s="21" t="b">
        <v>0</v>
      </c>
      <c r="Z13" s="21" t="b">
        <v>0</v>
      </c>
      <c r="AA13" s="21" t="b">
        <v>0</v>
      </c>
      <c r="AB13" s="21" t="b">
        <v>0</v>
      </c>
      <c r="AC13" s="21" t="b">
        <v>0</v>
      </c>
    </row>
    <row r="14">
      <c r="A14" s="31" t="s">
        <v>61</v>
      </c>
      <c r="B14" s="12">
        <f t="shared" si="1"/>
        <v>0.8333333333</v>
      </c>
      <c r="C14" s="12">
        <f t="shared" si="2"/>
        <v>0.68</v>
      </c>
      <c r="D14" s="12"/>
      <c r="E14" s="21" t="b">
        <v>1</v>
      </c>
      <c r="F14" s="21" t="b">
        <v>1</v>
      </c>
      <c r="G14" s="21" t="b">
        <v>1</v>
      </c>
      <c r="H14" s="21" t="b">
        <v>0</v>
      </c>
      <c r="I14" s="21" t="b">
        <v>1</v>
      </c>
      <c r="J14" s="21" t="b">
        <v>1</v>
      </c>
      <c r="K14" s="21" t="b">
        <v>0</v>
      </c>
      <c r="L14" s="21" t="b">
        <v>1</v>
      </c>
      <c r="M14" s="21" t="b">
        <v>1</v>
      </c>
      <c r="N14" s="21" t="b">
        <v>1</v>
      </c>
      <c r="O14" s="21" t="b">
        <v>1</v>
      </c>
      <c r="P14" s="21" t="b">
        <v>1</v>
      </c>
      <c r="Q14" s="21" t="b">
        <v>0</v>
      </c>
      <c r="R14" s="21" t="b">
        <v>1</v>
      </c>
      <c r="S14" s="21" t="b">
        <v>1</v>
      </c>
      <c r="T14" s="21" t="b">
        <v>1</v>
      </c>
      <c r="U14" s="21" t="b">
        <v>1</v>
      </c>
      <c r="V14" s="21" t="b">
        <v>1</v>
      </c>
      <c r="W14" s="21" t="b">
        <v>1</v>
      </c>
      <c r="X14" s="21" t="b">
        <v>1</v>
      </c>
      <c r="Y14" s="21" t="b">
        <v>0</v>
      </c>
      <c r="Z14" s="21" t="b">
        <v>0</v>
      </c>
      <c r="AA14" s="21" t="b">
        <v>0</v>
      </c>
      <c r="AB14" s="21" t="b">
        <v>0</v>
      </c>
      <c r="AC14" s="21" t="b">
        <v>0</v>
      </c>
    </row>
    <row r="15">
      <c r="A15" s="31" t="s">
        <v>62</v>
      </c>
      <c r="B15" s="12">
        <f t="shared" si="1"/>
        <v>0.4444444444</v>
      </c>
      <c r="C15" s="12">
        <f t="shared" si="2"/>
        <v>0.32</v>
      </c>
      <c r="D15" s="12"/>
      <c r="E15" s="21" t="b">
        <v>1</v>
      </c>
      <c r="F15" s="21" t="b">
        <v>0</v>
      </c>
      <c r="G15" s="21" t="b">
        <v>0</v>
      </c>
      <c r="H15" s="21" t="b">
        <v>0</v>
      </c>
      <c r="I15" s="21" t="b">
        <v>0</v>
      </c>
      <c r="J15" s="21" t="b">
        <v>0</v>
      </c>
      <c r="K15" s="21" t="b">
        <v>0</v>
      </c>
      <c r="L15" s="21" t="b">
        <v>0</v>
      </c>
      <c r="M15" s="21" t="b">
        <v>0</v>
      </c>
      <c r="N15" s="21" t="b">
        <v>0</v>
      </c>
      <c r="O15" s="21" t="b">
        <v>1</v>
      </c>
      <c r="P15" s="21" t="b">
        <v>0</v>
      </c>
      <c r="Q15" s="21" t="b">
        <v>1</v>
      </c>
      <c r="R15" s="21" t="b">
        <v>1</v>
      </c>
      <c r="S15" s="21" t="b">
        <v>1</v>
      </c>
      <c r="T15" s="21" t="b">
        <v>1</v>
      </c>
      <c r="U15" s="21" t="b">
        <v>1</v>
      </c>
      <c r="V15" s="21" t="b">
        <v>1</v>
      </c>
      <c r="W15" s="21" t="b">
        <v>0</v>
      </c>
      <c r="X15" s="21" t="b">
        <v>0</v>
      </c>
      <c r="Y15" s="21" t="b">
        <v>0</v>
      </c>
      <c r="Z15" s="21" t="b">
        <v>0</v>
      </c>
      <c r="AA15" s="21" t="b">
        <v>0</v>
      </c>
      <c r="AB15" s="21" t="b">
        <v>0</v>
      </c>
      <c r="AC15" s="21" t="b">
        <v>0</v>
      </c>
    </row>
    <row r="16">
      <c r="A16" s="31" t="s">
        <v>63</v>
      </c>
      <c r="B16" s="12">
        <f t="shared" si="1"/>
        <v>0.5</v>
      </c>
      <c r="C16" s="12">
        <f t="shared" si="2"/>
        <v>0.4</v>
      </c>
      <c r="D16" s="12"/>
      <c r="E16" s="21" t="b">
        <v>1</v>
      </c>
      <c r="F16" s="21" t="b">
        <v>0</v>
      </c>
      <c r="G16" s="21" t="b">
        <v>0</v>
      </c>
      <c r="H16" s="21" t="b">
        <v>0</v>
      </c>
      <c r="I16" s="21" t="b">
        <v>0</v>
      </c>
      <c r="J16" s="21" t="b">
        <v>0</v>
      </c>
      <c r="K16" s="21" t="b">
        <v>0</v>
      </c>
      <c r="L16" s="21" t="b">
        <v>1</v>
      </c>
      <c r="M16" s="21" t="b">
        <v>0</v>
      </c>
      <c r="N16" s="21" t="b">
        <v>0</v>
      </c>
      <c r="O16" s="21" t="b">
        <v>1</v>
      </c>
      <c r="P16" s="21" t="b">
        <v>1</v>
      </c>
      <c r="Q16" s="21" t="b">
        <v>0</v>
      </c>
      <c r="R16" s="21" t="b">
        <v>1</v>
      </c>
      <c r="S16" s="21" t="b">
        <v>1</v>
      </c>
      <c r="T16" s="21" t="b">
        <v>1</v>
      </c>
      <c r="U16" s="21" t="b">
        <v>1</v>
      </c>
      <c r="V16" s="21" t="b">
        <v>1</v>
      </c>
      <c r="W16" s="21" t="b">
        <v>1</v>
      </c>
      <c r="X16" s="21" t="b">
        <v>0</v>
      </c>
      <c r="Y16" s="21" t="b">
        <v>0</v>
      </c>
      <c r="Z16" s="21" t="b">
        <v>0</v>
      </c>
      <c r="AA16" s="21" t="b">
        <v>0</v>
      </c>
      <c r="AB16" s="21" t="b">
        <v>0</v>
      </c>
      <c r="AC16" s="21" t="b">
        <v>0</v>
      </c>
    </row>
    <row r="17">
      <c r="A17" s="10" t="s">
        <v>64</v>
      </c>
      <c r="B17" s="10">
        <v>18.0</v>
      </c>
      <c r="C17" s="10">
        <v>25.0</v>
      </c>
      <c r="E17" s="21">
        <f t="shared" ref="E17:AC17" si="3">COUNTIF(E2:E16, TRUE)</f>
        <v>5</v>
      </c>
      <c r="F17" s="21">
        <f t="shared" si="3"/>
        <v>10</v>
      </c>
      <c r="G17" s="21">
        <f t="shared" si="3"/>
        <v>5</v>
      </c>
      <c r="H17" s="21">
        <f t="shared" si="3"/>
        <v>0</v>
      </c>
      <c r="I17" s="21">
        <f t="shared" si="3"/>
        <v>3</v>
      </c>
      <c r="J17" s="21">
        <f t="shared" si="3"/>
        <v>6</v>
      </c>
      <c r="K17" s="21">
        <f t="shared" si="3"/>
        <v>0</v>
      </c>
      <c r="L17" s="21">
        <f t="shared" si="3"/>
        <v>4</v>
      </c>
      <c r="M17" s="21">
        <f t="shared" si="3"/>
        <v>2</v>
      </c>
      <c r="N17" s="21">
        <f t="shared" si="3"/>
        <v>2</v>
      </c>
      <c r="O17" s="21">
        <f t="shared" si="3"/>
        <v>13</v>
      </c>
      <c r="P17" s="21">
        <f t="shared" si="3"/>
        <v>7</v>
      </c>
      <c r="Q17" s="21">
        <f t="shared" si="3"/>
        <v>1</v>
      </c>
      <c r="R17" s="21">
        <f t="shared" si="3"/>
        <v>15</v>
      </c>
      <c r="S17" s="21">
        <f t="shared" si="3"/>
        <v>15</v>
      </c>
      <c r="T17" s="21">
        <f t="shared" si="3"/>
        <v>15</v>
      </c>
      <c r="U17" s="21">
        <f t="shared" si="3"/>
        <v>15</v>
      </c>
      <c r="V17" s="21">
        <f t="shared" si="3"/>
        <v>15</v>
      </c>
      <c r="W17" s="21">
        <f t="shared" si="3"/>
        <v>14</v>
      </c>
      <c r="X17" s="21">
        <f t="shared" si="3"/>
        <v>1</v>
      </c>
      <c r="Y17" s="21">
        <f t="shared" si="3"/>
        <v>1</v>
      </c>
      <c r="Z17" s="21">
        <f t="shared" si="3"/>
        <v>2</v>
      </c>
      <c r="AA17" s="21">
        <f t="shared" si="3"/>
        <v>0</v>
      </c>
      <c r="AB17" s="21">
        <f t="shared" si="3"/>
        <v>0</v>
      </c>
      <c r="AC17" s="21">
        <f t="shared" si="3"/>
        <v>0</v>
      </c>
    </row>
    <row r="20">
      <c r="E20" s="32" t="s">
        <v>65</v>
      </c>
    </row>
    <row r="21">
      <c r="A21" s="31"/>
      <c r="E21" s="34" t="s">
        <v>66</v>
      </c>
    </row>
    <row r="22">
      <c r="A22" s="31"/>
      <c r="E22" s="36" t="s">
        <v>28</v>
      </c>
    </row>
    <row r="23">
      <c r="A23" s="31"/>
      <c r="E23" s="37" t="s">
        <v>68</v>
      </c>
    </row>
    <row r="24">
      <c r="A24" s="31"/>
      <c r="E24" s="26"/>
    </row>
    <row r="25">
      <c r="A25" s="31"/>
      <c r="E25" s="26"/>
    </row>
    <row r="26">
      <c r="A26" s="31"/>
      <c r="E26" s="26"/>
    </row>
    <row r="27">
      <c r="A27" s="31"/>
      <c r="E27" s="26"/>
    </row>
    <row r="28">
      <c r="A28" s="31"/>
      <c r="E28" s="26"/>
    </row>
    <row r="29">
      <c r="A29" s="31"/>
      <c r="E29" s="26"/>
    </row>
    <row r="30">
      <c r="A30" s="31"/>
      <c r="E30" s="26"/>
    </row>
    <row r="31">
      <c r="A31" s="31"/>
      <c r="E31" s="26"/>
    </row>
    <row r="32">
      <c r="A32" s="31"/>
      <c r="E32" s="26"/>
    </row>
    <row r="33">
      <c r="A33" s="31"/>
      <c r="E33" s="51"/>
    </row>
    <row r="34">
      <c r="A34" s="31"/>
      <c r="E34" s="26"/>
    </row>
    <row r="35">
      <c r="A35" s="31"/>
      <c r="E35" s="26"/>
    </row>
  </sheetData>
  <conditionalFormatting sqref="E2:AC17">
    <cfRule type="cellIs" dxfId="0" priority="1" operator="equal">
      <formula>"TRUE"</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1">
      <c r="A1" s="33"/>
      <c r="B1" s="31" t="s">
        <v>259</v>
      </c>
      <c r="C1" s="31" t="s">
        <v>260</v>
      </c>
      <c r="D1" s="31" t="s">
        <v>261</v>
      </c>
      <c r="E1" s="31" t="s">
        <v>262</v>
      </c>
      <c r="F1" s="31" t="s">
        <v>263</v>
      </c>
      <c r="G1" s="31" t="s">
        <v>264</v>
      </c>
      <c r="H1" s="31" t="s">
        <v>265</v>
      </c>
      <c r="I1" s="31" t="s">
        <v>266</v>
      </c>
      <c r="J1" s="31" t="s">
        <v>267</v>
      </c>
      <c r="K1" s="31" t="s">
        <v>268</v>
      </c>
      <c r="L1" s="31" t="s">
        <v>269</v>
      </c>
      <c r="M1" s="31" t="s">
        <v>270</v>
      </c>
    </row>
    <row r="2">
      <c r="B2" s="10" t="b">
        <v>1</v>
      </c>
      <c r="C2" s="10" t="b">
        <v>1</v>
      </c>
      <c r="D2" s="10" t="b">
        <v>1</v>
      </c>
      <c r="E2" s="10" t="b">
        <v>1</v>
      </c>
      <c r="F2" s="10" t="b">
        <v>1</v>
      </c>
      <c r="G2" s="10" t="b">
        <v>1</v>
      </c>
      <c r="H2" s="10" t="b">
        <v>1</v>
      </c>
      <c r="I2" s="10" t="b">
        <v>1</v>
      </c>
      <c r="J2" s="10" t="b">
        <v>1</v>
      </c>
      <c r="K2" s="10" t="b">
        <v>1</v>
      </c>
    </row>
    <row r="3">
      <c r="A3" s="31" t="s">
        <v>49</v>
      </c>
      <c r="B3" s="52"/>
      <c r="C3" s="31" t="s">
        <v>271</v>
      </c>
      <c r="D3" s="53" t="s">
        <v>272</v>
      </c>
      <c r="E3" s="53" t="s">
        <v>273</v>
      </c>
      <c r="F3" s="33"/>
      <c r="G3" s="31" t="s">
        <v>274</v>
      </c>
      <c r="H3" s="33"/>
      <c r="I3" s="31" t="s">
        <v>275</v>
      </c>
      <c r="J3" s="31" t="s">
        <v>276</v>
      </c>
      <c r="K3" s="31" t="s">
        <v>277</v>
      </c>
      <c r="L3" s="33"/>
      <c r="M3" s="33"/>
    </row>
    <row r="4">
      <c r="A4" s="31" t="s">
        <v>50</v>
      </c>
      <c r="B4" s="52"/>
      <c r="C4" s="53" t="s">
        <v>278</v>
      </c>
      <c r="D4" s="53" t="s">
        <v>279</v>
      </c>
      <c r="E4" s="53" t="s">
        <v>280</v>
      </c>
      <c r="F4" s="53" t="s">
        <v>281</v>
      </c>
      <c r="G4" s="31" t="s">
        <v>282</v>
      </c>
      <c r="H4" s="33"/>
      <c r="I4" s="31" t="s">
        <v>283</v>
      </c>
      <c r="J4" s="31" t="s">
        <v>284</v>
      </c>
      <c r="K4" s="31" t="s">
        <v>285</v>
      </c>
      <c r="L4" s="33"/>
      <c r="M4" s="33"/>
    </row>
    <row r="5">
      <c r="A5" s="31" t="s">
        <v>51</v>
      </c>
      <c r="B5" s="52"/>
      <c r="C5" s="31" t="s">
        <v>286</v>
      </c>
      <c r="D5" s="33"/>
      <c r="E5" s="31" t="s">
        <v>287</v>
      </c>
      <c r="F5" s="33"/>
      <c r="G5" s="31" t="s">
        <v>288</v>
      </c>
      <c r="H5" s="33"/>
      <c r="I5" s="31" t="s">
        <v>289</v>
      </c>
      <c r="J5" s="31" t="s">
        <v>290</v>
      </c>
      <c r="K5" s="31" t="s">
        <v>291</v>
      </c>
      <c r="L5" s="33"/>
      <c r="M5" s="33"/>
    </row>
    <row r="6">
      <c r="A6" s="31" t="s">
        <v>52</v>
      </c>
      <c r="B6" s="52"/>
      <c r="C6" s="52"/>
      <c r="D6" s="52"/>
      <c r="E6" s="52"/>
      <c r="F6" s="52"/>
      <c r="G6" s="31" t="s">
        <v>292</v>
      </c>
      <c r="H6" s="33"/>
      <c r="I6" s="31" t="s">
        <v>293</v>
      </c>
      <c r="K6" s="31" t="s">
        <v>294</v>
      </c>
      <c r="L6" s="33"/>
      <c r="M6" s="33"/>
    </row>
    <row r="7">
      <c r="A7" s="31" t="s">
        <v>53</v>
      </c>
      <c r="B7" s="52"/>
      <c r="C7" s="53" t="s">
        <v>295</v>
      </c>
      <c r="D7" s="53" t="s">
        <v>296</v>
      </c>
      <c r="E7" s="53" t="s">
        <v>297</v>
      </c>
      <c r="F7" s="53" t="s">
        <v>298</v>
      </c>
      <c r="G7" s="31" t="s">
        <v>282</v>
      </c>
      <c r="H7" s="31" t="s">
        <v>299</v>
      </c>
      <c r="I7" s="31" t="s">
        <v>300</v>
      </c>
      <c r="J7" s="31" t="s">
        <v>301</v>
      </c>
      <c r="K7" s="31" t="s">
        <v>302</v>
      </c>
      <c r="L7" s="33"/>
      <c r="M7" s="33"/>
    </row>
    <row r="8">
      <c r="A8" s="31" t="s">
        <v>54</v>
      </c>
      <c r="B8" s="52"/>
      <c r="C8" s="31" t="s">
        <v>303</v>
      </c>
      <c r="D8" s="33"/>
      <c r="E8" s="31" t="s">
        <v>304</v>
      </c>
      <c r="F8" s="33"/>
      <c r="G8" s="31" t="s">
        <v>282</v>
      </c>
      <c r="H8" s="33"/>
      <c r="I8" s="31" t="s">
        <v>305</v>
      </c>
      <c r="J8" s="33"/>
      <c r="K8" s="31" t="s">
        <v>306</v>
      </c>
      <c r="L8" s="33"/>
      <c r="M8" s="33"/>
    </row>
    <row r="9">
      <c r="A9" s="31" t="s">
        <v>55</v>
      </c>
      <c r="B9" s="52"/>
      <c r="C9" s="53" t="s">
        <v>295</v>
      </c>
      <c r="D9" s="53" t="s">
        <v>296</v>
      </c>
      <c r="E9" s="53" t="s">
        <v>307</v>
      </c>
      <c r="F9" s="53" t="s">
        <v>308</v>
      </c>
      <c r="G9" s="31" t="s">
        <v>282</v>
      </c>
      <c r="H9" s="33"/>
      <c r="I9" s="31" t="s">
        <v>309</v>
      </c>
      <c r="J9" s="33"/>
      <c r="K9" s="31" t="s">
        <v>310</v>
      </c>
      <c r="L9" s="33"/>
      <c r="M9" s="33"/>
    </row>
    <row r="10">
      <c r="A10" s="31" t="s">
        <v>56</v>
      </c>
      <c r="B10" s="52"/>
      <c r="C10" s="53" t="s">
        <v>295</v>
      </c>
      <c r="D10" s="53" t="s">
        <v>296</v>
      </c>
      <c r="E10" s="53" t="s">
        <v>297</v>
      </c>
      <c r="F10" s="33"/>
      <c r="G10" s="31" t="s">
        <v>311</v>
      </c>
      <c r="H10" s="33"/>
      <c r="I10" s="31" t="s">
        <v>312</v>
      </c>
      <c r="J10" s="33"/>
      <c r="K10" s="31" t="s">
        <v>313</v>
      </c>
      <c r="L10" s="33"/>
      <c r="M10" s="33"/>
    </row>
    <row r="11">
      <c r="A11" s="31" t="s">
        <v>57</v>
      </c>
      <c r="B11" s="52"/>
      <c r="C11" s="52" t="s">
        <v>314</v>
      </c>
      <c r="D11" s="52" t="s">
        <v>315</v>
      </c>
      <c r="E11" s="53" t="s">
        <v>316</v>
      </c>
      <c r="F11" s="33"/>
      <c r="G11" s="31" t="s">
        <v>317</v>
      </c>
      <c r="H11" s="33"/>
      <c r="I11" s="31" t="s">
        <v>318</v>
      </c>
      <c r="J11" s="33"/>
      <c r="K11" s="31" t="s">
        <v>319</v>
      </c>
      <c r="L11" s="33"/>
      <c r="M11" s="33"/>
      <c r="N11" s="33"/>
    </row>
    <row r="12">
      <c r="A12" s="31" t="s">
        <v>58</v>
      </c>
      <c r="B12" s="52"/>
      <c r="C12" s="54" t="s">
        <v>320</v>
      </c>
      <c r="D12" s="33"/>
      <c r="E12" s="31" t="s">
        <v>282</v>
      </c>
      <c r="F12" s="33"/>
      <c r="G12" s="31" t="s">
        <v>321</v>
      </c>
      <c r="H12" s="33"/>
      <c r="I12" s="31" t="s">
        <v>322</v>
      </c>
      <c r="J12" s="33"/>
      <c r="K12" s="31" t="s">
        <v>323</v>
      </c>
      <c r="L12" s="33"/>
      <c r="M12" s="33"/>
    </row>
    <row r="13">
      <c r="A13" s="31" t="s">
        <v>59</v>
      </c>
      <c r="B13" s="52"/>
      <c r="C13" s="53" t="s">
        <v>324</v>
      </c>
      <c r="D13" s="53" t="s">
        <v>279</v>
      </c>
      <c r="E13" s="53" t="s">
        <v>325</v>
      </c>
      <c r="F13" s="33"/>
      <c r="G13" s="31" t="s">
        <v>326</v>
      </c>
      <c r="H13" s="33"/>
      <c r="I13" s="31" t="s">
        <v>327</v>
      </c>
      <c r="J13" s="33"/>
      <c r="K13" s="31" t="s">
        <v>328</v>
      </c>
      <c r="L13" s="33"/>
      <c r="M13" s="33"/>
    </row>
    <row r="14">
      <c r="A14" s="31" t="s">
        <v>60</v>
      </c>
      <c r="B14" s="52"/>
      <c r="C14" s="53" t="s">
        <v>278</v>
      </c>
      <c r="D14" s="53" t="s">
        <v>279</v>
      </c>
      <c r="E14" s="53" t="s">
        <v>329</v>
      </c>
      <c r="F14" s="33"/>
      <c r="G14" s="31" t="s">
        <v>330</v>
      </c>
      <c r="H14" s="33"/>
      <c r="I14" s="31" t="s">
        <v>331</v>
      </c>
      <c r="J14" s="33"/>
      <c r="K14" s="31" t="s">
        <v>332</v>
      </c>
      <c r="L14" s="33"/>
      <c r="M14" s="33"/>
    </row>
    <row r="15">
      <c r="A15" s="31" t="s">
        <v>61</v>
      </c>
      <c r="B15" s="52"/>
      <c r="C15" s="53" t="s">
        <v>278</v>
      </c>
      <c r="D15" s="53" t="s">
        <v>279</v>
      </c>
      <c r="E15" s="53" t="s">
        <v>280</v>
      </c>
      <c r="F15" s="53" t="s">
        <v>281</v>
      </c>
      <c r="G15" s="31" t="s">
        <v>333</v>
      </c>
      <c r="H15" s="33"/>
      <c r="I15" s="33"/>
      <c r="J15" s="33"/>
      <c r="K15" s="31" t="s">
        <v>334</v>
      </c>
      <c r="L15" s="33"/>
      <c r="M15" s="33"/>
    </row>
    <row r="16">
      <c r="A16" s="31" t="s">
        <v>62</v>
      </c>
      <c r="B16" s="52"/>
      <c r="C16" s="31" t="s">
        <v>335</v>
      </c>
      <c r="D16" s="33"/>
      <c r="E16" s="54" t="s">
        <v>287</v>
      </c>
      <c r="F16" s="33"/>
      <c r="G16" s="31" t="s">
        <v>336</v>
      </c>
      <c r="H16" s="33"/>
      <c r="I16" s="31" t="s">
        <v>337</v>
      </c>
      <c r="J16" s="33"/>
      <c r="K16" s="31" t="s">
        <v>338</v>
      </c>
      <c r="L16" s="33"/>
      <c r="M16" s="33"/>
    </row>
    <row r="17">
      <c r="A17" s="31" t="s">
        <v>63</v>
      </c>
      <c r="B17" s="52"/>
      <c r="C17" s="53" t="s">
        <v>278</v>
      </c>
      <c r="D17" s="53" t="s">
        <v>279</v>
      </c>
      <c r="E17" s="53" t="s">
        <v>280</v>
      </c>
      <c r="F17" s="33"/>
      <c r="G17" s="31" t="s">
        <v>282</v>
      </c>
      <c r="H17" s="33"/>
      <c r="I17" s="31" t="s">
        <v>339</v>
      </c>
      <c r="J17" s="33"/>
      <c r="K17" s="31" t="s">
        <v>340</v>
      </c>
      <c r="L17" s="33"/>
      <c r="M17" s="33"/>
    </row>
  </sheetData>
  <drawing r:id="rId2"/>
  <legacyDrawing r:id="rId3"/>
</worksheet>
</file>